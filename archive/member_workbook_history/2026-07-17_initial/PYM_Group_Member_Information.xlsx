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Member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<sst xmlns="http://schemas.openxmlformats.org/spreadsheetml/2006/main" count="391" uniqueCount="141">
  <si>
    <t>PYM Group Member Information Master Table</t>
  </si>
  <si>
    <t>Edit the white cells directly. Keep one person per row; leave unknown information blank.</t>
  </si>
  <si>
    <t>Member ID</t>
  </si>
  <si>
    <t>Category</t>
  </si>
  <si>
    <t>Chinese Name</t>
  </si>
  <si>
    <t>English Name</t>
  </si>
  <si>
    <t>Profile URL</t>
  </si>
  <si>
    <t>Degree / Position</t>
  </si>
  <si>
    <t>Start Year</t>
  </si>
  <si>
    <t>Expected End Year</t>
  </si>
  <si>
    <t>Actual End Year</t>
  </si>
  <si>
    <t>Status</t>
  </si>
  <si>
    <t>Display Period</t>
  </si>
  <si>
    <t>Undergraduate Institution</t>
  </si>
  <si>
    <t>Master's Institution</t>
  </si>
  <si>
    <t>Doctoral Institution</t>
  </si>
  <si>
    <t>Destination</t>
  </si>
  <si>
    <t>Notes</t>
  </si>
  <si>
    <t>Source URL 1</t>
  </si>
  <si>
    <t>Source URL 2</t>
  </si>
  <si>
    <t/>
  </si>
  <si>
    <t>Principal Investigator</t>
  </si>
  <si>
    <t>裴永茂</t>
  </si>
  <si>
    <t>Yongmao Pei</t>
  </si>
  <si>
    <t>https://mech.pku.edu.cn/jzyg/szdw/P/69748cb08f7c48c5b97e93486467b594.htm</t>
  </si>
  <si>
    <t>Professor</t>
  </si>
  <si>
    <t>Current</t>
  </si>
  <si>
    <t>Tsinghua University</t>
  </si>
  <si>
    <t>2201112117</t>
  </si>
  <si>
    <t>Doctoral Student</t>
  </si>
  <si>
    <t>赵鹏宇</t>
  </si>
  <si>
    <t>Zhao Pengyu</t>
  </si>
  <si>
    <t>Direct Ph.D.</t>
  </si>
  <si>
    <t>Peking University</t>
  </si>
  <si>
    <t>https://mech.pku.edu.cn/Uploads/Bdgxy/Collection/File/2021/09/28/o3m1hapwvdg.pdf</t>
  </si>
  <si>
    <t>2301111683</t>
  </si>
  <si>
    <t>马皓宇</t>
  </si>
  <si>
    <t>Ma Haoyu</t>
  </si>
  <si>
    <t>Harbin Institute of Technology</t>
  </si>
  <si>
    <t>https://www.coe.pku.edu.cn/Uploads/Bdgxy/Picture/2022/07/15/u62d07619c197c.pdf</t>
  </si>
  <si>
    <t>2401111721</t>
  </si>
  <si>
    <t>崔忠霖</t>
  </si>
  <si>
    <t>Cui Zhonglin</t>
  </si>
  <si>
    <t>Dalian University of Technology</t>
  </si>
  <si>
    <t>https://amr.pku.edu.cn/Uploads/Bdgxy/Picture/2023/10/16/u652cd9df3d5d7.pdf</t>
  </si>
  <si>
    <t>https://www.coe.pku.edu.cn/Uploads/Bdgxy/Picture/2023/08/12/u64d73b148ec6d.pdf</t>
  </si>
  <si>
    <t>2501111739</t>
  </si>
  <si>
    <t>伍霖</t>
  </si>
  <si>
    <t>Wu Lin</t>
  </si>
  <si>
    <t>https://orcid.org/0009-0005-6544-2197</t>
  </si>
  <si>
    <t>Nanjing University of Aeronautics and Astronautics</t>
  </si>
  <si>
    <t>Education confirmed from the supplied personal-profile screenshot.</t>
  </si>
  <si>
    <t>2501111723</t>
  </si>
  <si>
    <t>江科杙</t>
  </si>
  <si>
    <t>Jiang Keyi</t>
  </si>
  <si>
    <t>Ph.D.</t>
  </si>
  <si>
    <t>Chongqing University</t>
  </si>
  <si>
    <t>中科院力学研究所</t>
  </si>
  <si>
    <t>Master's institution should be reconfirmed against the completed degree record.</t>
  </si>
  <si>
    <t>https://www.coe.pku.edu.cn/Uploads/Bdgxy/Picture/2021/10/15/u61694fc26ec79.pdf</t>
  </si>
  <si>
    <t>https://civil.cqu.edu.cn/info/2097/20976.htm</t>
  </si>
  <si>
    <t>2101111924</t>
  </si>
  <si>
    <t>冀锦羽</t>
  </si>
  <si>
    <t>Ji Jinyu</t>
  </si>
  <si>
    <t>https://www.coe.pku.edu.cn/Uploads/Bdgxy/Collection/File/2021/09/28/tof20e3hf5f.pdf</t>
  </si>
  <si>
    <t>https://www.coe.pku.edu.cn/Uploads/Bdgxy/Collection/File/2021/09/28/mad5pevgqql.pdf</t>
  </si>
  <si>
    <t>2201112115</t>
  </si>
  <si>
    <t>向星宇</t>
  </si>
  <si>
    <t>Xiang Xingyu</t>
  </si>
  <si>
    <t>Southwest Jiaotong University</t>
  </si>
  <si>
    <t>2201112110</t>
  </si>
  <si>
    <t>马豪杰</t>
  </si>
  <si>
    <t>Ma Haojie</t>
  </si>
  <si>
    <t>Hunan University</t>
  </si>
  <si>
    <t>2301111680</t>
  </si>
  <si>
    <t>陈俊炜</t>
  </si>
  <si>
    <t>Chen Junwei</t>
  </si>
  <si>
    <t>2301111681</t>
  </si>
  <si>
    <t>李俊鹏</t>
  </si>
  <si>
    <t>Li Junpeng</t>
  </si>
  <si>
    <t>2401111731</t>
  </si>
  <si>
    <t>杨秉臻</t>
  </si>
  <si>
    <t>Yang Bingzhen</t>
  </si>
  <si>
    <t>2406395306</t>
  </si>
  <si>
    <t>Postdoctoral Researcher</t>
  </si>
  <si>
    <t>许春雨</t>
  </si>
  <si>
    <t>Xu Chunyu</t>
  </si>
  <si>
    <t>Beijing University of Science and Technology</t>
  </si>
  <si>
    <t>Only the doctoral institution was found in the public PKU notice; undergraduate and master's fields remain blank.</t>
  </si>
  <si>
    <t>https://www.coe.pku.edu.cn/announcements/college/12707.html</t>
  </si>
  <si>
    <t>2406392575</t>
  </si>
  <si>
    <t>张路</t>
  </si>
  <si>
    <t>Zhang Lu</t>
  </si>
  <si>
    <t>南京航空航天大学</t>
  </si>
  <si>
    <t>No reliable education record was found for this exact individual; fields remain blank.</t>
  </si>
  <si>
    <t>2606396422</t>
  </si>
  <si>
    <t>邓健强</t>
  </si>
  <si>
    <t>Deng Jianqiang</t>
  </si>
  <si>
    <t>Master's and doctoral institutions were verified; undergraduate institution remains blank.</t>
  </si>
  <si>
    <t>https://cnki.istiz.org.cn/kcms/detail/detail.aspx?dbcode=CMFD&amp;dbname=CMFD2022&amp;filename=1021807384.nh</t>
  </si>
  <si>
    <t>https://yz.cqu.edu.cn/upload/pub/bsnlq_2021.pdf</t>
  </si>
  <si>
    <t>Alumni</t>
  </si>
  <si>
    <t>李航宇</t>
  </si>
  <si>
    <t>中国科学技术大学</t>
  </si>
  <si>
    <t>HUAWEI</t>
  </si>
  <si>
    <t>许多</t>
  </si>
  <si>
    <t>湖南大学</t>
  </si>
  <si>
    <t>李鉴卿</t>
  </si>
  <si>
    <t>刘鹏</t>
  </si>
  <si>
    <t>周志涛</t>
  </si>
  <si>
    <t>侯泽伟</t>
  </si>
  <si>
    <t>吕增耀</t>
  </si>
  <si>
    <t>王培育</t>
  </si>
  <si>
    <t>丁元帅</t>
  </si>
  <si>
    <t>刘佳琼</t>
  </si>
  <si>
    <t>杨晨</t>
  </si>
  <si>
    <t>林瑜阳</t>
  </si>
  <si>
    <t>许望东</t>
  </si>
  <si>
    <t>硕士</t>
  </si>
  <si>
    <t>刘后常</t>
  </si>
  <si>
    <t>重庆大学</t>
  </si>
  <si>
    <t>How to Maintain the Members Table</t>
  </si>
  <si>
    <t>Field</t>
  </si>
  <si>
    <t>How to fill it</t>
  </si>
  <si>
    <t>Student or postdoctoral ID. Keep it as text so leading zeros are preserved.</t>
  </si>
  <si>
    <t>Choose from the drop-down list.</t>
  </si>
  <si>
    <t>Chinese / English Name</t>
  </si>
  <si>
    <t>Use the person's verified preferred spelling.</t>
  </si>
  <si>
    <t>ORCID, institutional profile, or personal academic homepage.</t>
  </si>
  <si>
    <t>Use Direct Ph.D. only for direct-entry doctoral students.</t>
  </si>
  <si>
    <t>Start / End Year</t>
  </si>
  <si>
    <t>Enter four-digit years as numbers. Use Actual End Year only after completion.</t>
  </si>
  <si>
    <t>Current automatically displays Present in the Display Period column.</t>
  </si>
  <si>
    <t>Previous Education</t>
  </si>
  <si>
    <t>Enter official English university names; keep each institution in its own column.</t>
  </si>
  <si>
    <t>For alumni or departing postdoctoral researchers; leave blank while current.</t>
  </si>
  <si>
    <t>Record uncertainty or details that should not be displayed publicly.</t>
  </si>
  <si>
    <t>Source URLs</t>
  </si>
  <si>
    <t>Use public official sources where possible. Two source columns are provided.</t>
  </si>
  <si>
    <t>Workflow</t>
  </si>
  <si>
    <t>Update this workbook → send it back → synchronize _data/members.yml → review the website.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</si>
</sst>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5A2638"/>
      <name val="Carlito"/>
      <charset val="134"/>
    </font>
    <font>
      <i/>
      <sz val="11"/>
      <color rgb="FF5A2638"/>
      <name val="Carlito"/>
      <charset val="134"/>
    </font>
    <font>
      <sz val="9"/>
      <color rgb="FF0563C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C1D40"/>
        <bgColor indexed="64"/>
      </patternFill>
    </fill>
    <fill>
      <patternFill patternType="solid">
        <fgColor rgb="FF5A2638"/>
        <bgColor indexed="64"/>
      </patternFill>
    </fill>
    <fill>
      <patternFill patternType="solid">
        <fgColor rgb="FFF3E8E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/>
    <xf numFmtId="0" fontId="2" fillId="3" borderId="1" xfId="49" applyNumberFormat="1" applyFont="1" applyFill="1" applyBorder="1"/>
    <xf numFmtId="0" fontId="2" fillId="3" borderId="2" xfId="49" applyNumberFormat="1" applyFont="1" applyFill="1" applyBorder="1"/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vertical="center"/>
    </xf>
    <xf numFmtId="0" fontId="4" fillId="4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top" wrapText="1"/>
    </xf>
    <xf numFmtId="1" fontId="0" fillId="0" borderId="0" xfId="49" applyNumberFormat="1" applyFont="1" applyFill="1" applyBorder="1" applyAlignment="1">
      <alignment vertical="top" wrapText="1"/>
    </xf>
    <xf numFmtId="0" fontId="0" fillId="5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0" fontId="6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1F4E78"/>
      </font>
      <fill>
        <patternFill patternType="solid">
          <bgColor rgb="FFDDEBF7"/>
        </patternFill>
      </fill>
    </dxf>
    <dxf>
      <font>
        <color rgb="FF2F6B2F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mbersTable" displayName="MembersTable" ref="A4:R19" totalsRowShown="0">
  <autoFilter xmlns:etc="http://www.wps.cn/officeDocument/2017/etCustomData" ref="A4:R19" etc:filterBottomFollowUsedRange="0"/>
  <tableColumns count="18">
    <tableColumn id="1" name="Member ID"/>
    <tableColumn id="2" name="Category"/>
    <tableColumn id="3" name="Chinese Name"/>
    <tableColumn id="4" name="English Name"/>
    <tableColumn id="5" name="Profile URL"/>
    <tableColumn id="6" name="Degree / Position"/>
    <tableColumn id="7" name="Start Year"/>
    <tableColumn id="8" name="Expected End Year"/>
    <tableColumn id="9" name="Actual End Year"/>
    <tableColumn id="10" name="Status"/>
    <tableColumn id="11" name="Display Period"/>
    <tableColumn id="12" name="Undergraduate Institution"/>
    <tableColumn id="13" name="Master's Institution"/>
    <tableColumn id="14" name="Doctoral Institution"/>
    <tableColumn id="15" name="Destination"/>
    <tableColumn id="16" name="Notes"/>
    <tableColumn id="17" name="Source URL 1"/>
    <tableColumn id="18" name="Source UR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showGridLines="0" tabSelected="1" zoomScale="130" zoomScaleNormal="130" topLeftCell="A10" workbookViewId="0">
      <selection activeCell="L34" sqref="L34"/>
    </sheetView>
  </sheetViews>
  <sheetFormatPr defaultColWidth="9" defaultRowHeight="14.25"/>
  <cols>
    <col min="1" max="1" width="14" customWidth="1"/>
    <col min="2" max="2" width="21" customWidth="1"/>
    <col min="3" max="3" width="12" customWidth="1"/>
    <col min="4" max="4" width="18" customWidth="1"/>
    <col min="5" max="5" width="28" customWidth="1"/>
    <col min="6" max="6" width="23" customWidth="1"/>
    <col min="7" max="9" width="13" customWidth="1"/>
    <col min="10" max="10" width="12" customWidth="1"/>
    <col min="11" max="11" width="16" customWidth="1"/>
    <col min="12" max="14" width="30" customWidth="1"/>
    <col min="15" max="15" width="24" customWidth="1"/>
    <col min="16" max="16" width="36" customWidth="1"/>
    <col min="17" max="18" width="34" customWidth="1"/>
  </cols>
  <sheetData>
    <row r="1" ht="30" customHeight="1" spans="1:1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ht="26" customHeight="1" spans="1:18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4" ht="38" customHeight="1" spans="1:18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</row>
    <row r="5" ht="38" customHeight="1" spans="1:18">
      <c r="A5" s="12" t="s">
        <v>20</v>
      </c>
      <c r="B5" s="12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3">
        <v>2018</v>
      </c>
      <c r="H5" s="13" t="s">
        <v>20</v>
      </c>
      <c r="I5" s="13" t="s">
        <v>20</v>
      </c>
      <c r="J5" s="12" t="s">
        <v>26</v>
      </c>
      <c r="K5" s="14" t="str">
        <f t="shared" ref="K5:K34" si="0">IF(G5="","",G5&amp;"–"&amp;IF(J5="Current","Present",IF(I5&lt;&gt;"",I5,H5)))</f>
        <v>2018–Present</v>
      </c>
      <c r="L5" s="12" t="s">
        <v>27</v>
      </c>
      <c r="M5" s="12" t="s">
        <v>20</v>
      </c>
      <c r="N5" s="12" t="s">
        <v>27</v>
      </c>
      <c r="O5" s="12" t="s">
        <v>20</v>
      </c>
      <c r="P5" s="12" t="s">
        <v>20</v>
      </c>
      <c r="Q5" s="15" t="s">
        <v>24</v>
      </c>
      <c r="R5" s="15" t="s">
        <v>20</v>
      </c>
    </row>
    <row r="6" ht="38" customHeight="1" spans="1:18">
      <c r="A6" s="12" t="s">
        <v>28</v>
      </c>
      <c r="B6" s="12" t="s">
        <v>29</v>
      </c>
      <c r="C6" s="12" t="s">
        <v>30</v>
      </c>
      <c r="D6" s="12" t="s">
        <v>31</v>
      </c>
      <c r="E6" s="12" t="s">
        <v>20</v>
      </c>
      <c r="F6" s="12" t="s">
        <v>32</v>
      </c>
      <c r="G6" s="13">
        <v>2022</v>
      </c>
      <c r="H6" s="13">
        <v>2027</v>
      </c>
      <c r="I6" s="13" t="s">
        <v>20</v>
      </c>
      <c r="J6" s="12" t="s">
        <v>26</v>
      </c>
      <c r="K6" s="14" t="str">
        <f t="shared" si="0"/>
        <v>2022–Present</v>
      </c>
      <c r="L6" s="12" t="s">
        <v>33</v>
      </c>
      <c r="M6" s="12" t="s">
        <v>20</v>
      </c>
      <c r="N6" s="12" t="s">
        <v>20</v>
      </c>
      <c r="O6" s="12" t="s">
        <v>20</v>
      </c>
      <c r="P6" s="12" t="s">
        <v>20</v>
      </c>
      <c r="Q6" s="15" t="s">
        <v>34</v>
      </c>
      <c r="R6" s="15" t="s">
        <v>20</v>
      </c>
    </row>
    <row r="7" ht="38" customHeight="1" spans="1:18">
      <c r="A7" s="12" t="s">
        <v>35</v>
      </c>
      <c r="B7" s="12" t="s">
        <v>29</v>
      </c>
      <c r="C7" s="12" t="s">
        <v>36</v>
      </c>
      <c r="D7" s="12" t="s">
        <v>37</v>
      </c>
      <c r="E7" s="12" t="s">
        <v>20</v>
      </c>
      <c r="F7" s="12" t="s">
        <v>32</v>
      </c>
      <c r="G7" s="13">
        <v>2023</v>
      </c>
      <c r="H7" s="13">
        <v>2028</v>
      </c>
      <c r="I7" s="13" t="s">
        <v>20</v>
      </c>
      <c r="J7" s="12" t="s">
        <v>26</v>
      </c>
      <c r="K7" s="14" t="str">
        <f t="shared" si="0"/>
        <v>2023–Present</v>
      </c>
      <c r="L7" s="12" t="s">
        <v>38</v>
      </c>
      <c r="M7" s="12" t="s">
        <v>20</v>
      </c>
      <c r="N7" s="12" t="s">
        <v>20</v>
      </c>
      <c r="O7" s="12" t="s">
        <v>20</v>
      </c>
      <c r="P7" s="12" t="s">
        <v>20</v>
      </c>
      <c r="Q7" s="15" t="s">
        <v>39</v>
      </c>
      <c r="R7" s="15" t="s">
        <v>20</v>
      </c>
    </row>
    <row r="8" ht="38" customHeight="1" spans="1:18">
      <c r="A8" s="12" t="s">
        <v>40</v>
      </c>
      <c r="B8" s="12" t="s">
        <v>29</v>
      </c>
      <c r="C8" s="12" t="s">
        <v>41</v>
      </c>
      <c r="D8" s="12" t="s">
        <v>42</v>
      </c>
      <c r="E8" s="12" t="s">
        <v>20</v>
      </c>
      <c r="F8" s="12" t="s">
        <v>32</v>
      </c>
      <c r="G8" s="13">
        <v>2024</v>
      </c>
      <c r="H8" s="13">
        <v>2029</v>
      </c>
      <c r="I8" s="13" t="s">
        <v>20</v>
      </c>
      <c r="J8" s="12" t="s">
        <v>26</v>
      </c>
      <c r="K8" s="14" t="str">
        <f t="shared" si="0"/>
        <v>2024–Present</v>
      </c>
      <c r="L8" s="12" t="s">
        <v>43</v>
      </c>
      <c r="M8" s="12" t="s">
        <v>20</v>
      </c>
      <c r="N8" s="12" t="s">
        <v>20</v>
      </c>
      <c r="O8" s="12" t="s">
        <v>20</v>
      </c>
      <c r="P8" s="12" t="s">
        <v>20</v>
      </c>
      <c r="Q8" s="15" t="s">
        <v>44</v>
      </c>
      <c r="R8" s="15" t="s">
        <v>45</v>
      </c>
    </row>
    <row r="9" ht="38" customHeight="1" spans="1:18">
      <c r="A9" s="12" t="s">
        <v>46</v>
      </c>
      <c r="B9" s="12" t="s">
        <v>29</v>
      </c>
      <c r="C9" s="12" t="s">
        <v>47</v>
      </c>
      <c r="D9" s="12" t="s">
        <v>48</v>
      </c>
      <c r="E9" s="12" t="s">
        <v>49</v>
      </c>
      <c r="F9" s="12" t="s">
        <v>32</v>
      </c>
      <c r="G9" s="13">
        <v>2025</v>
      </c>
      <c r="H9" s="13">
        <v>2030</v>
      </c>
      <c r="I9" s="13" t="s">
        <v>20</v>
      </c>
      <c r="J9" s="12" t="s">
        <v>26</v>
      </c>
      <c r="K9" s="14" t="str">
        <f t="shared" si="0"/>
        <v>2025–Present</v>
      </c>
      <c r="L9" s="12" t="s">
        <v>50</v>
      </c>
      <c r="M9" s="12" t="s">
        <v>20</v>
      </c>
      <c r="N9" s="12" t="s">
        <v>20</v>
      </c>
      <c r="O9" s="12" t="s">
        <v>20</v>
      </c>
      <c r="P9" s="12" t="s">
        <v>51</v>
      </c>
      <c r="Q9" s="15" t="s">
        <v>49</v>
      </c>
      <c r="R9" s="15" t="s">
        <v>20</v>
      </c>
    </row>
    <row r="10" ht="38" customHeight="1" spans="1:18">
      <c r="A10" s="12" t="s">
        <v>52</v>
      </c>
      <c r="B10" s="12" t="s">
        <v>29</v>
      </c>
      <c r="C10" s="12" t="s">
        <v>53</v>
      </c>
      <c r="D10" s="12" t="s">
        <v>54</v>
      </c>
      <c r="E10" s="12" t="s">
        <v>20</v>
      </c>
      <c r="F10" s="12" t="s">
        <v>55</v>
      </c>
      <c r="G10" s="13">
        <v>2025</v>
      </c>
      <c r="H10" s="13">
        <v>2030</v>
      </c>
      <c r="I10" s="13" t="s">
        <v>20</v>
      </c>
      <c r="J10" s="12" t="s">
        <v>26</v>
      </c>
      <c r="K10" s="14" t="str">
        <f t="shared" si="0"/>
        <v>2025–Present</v>
      </c>
      <c r="L10" s="12" t="s">
        <v>56</v>
      </c>
      <c r="M10" s="16" t="s">
        <v>57</v>
      </c>
      <c r="N10" s="12" t="s">
        <v>20</v>
      </c>
      <c r="O10" s="12" t="s">
        <v>20</v>
      </c>
      <c r="P10" s="12" t="s">
        <v>58</v>
      </c>
      <c r="Q10" s="15" t="s">
        <v>59</v>
      </c>
      <c r="R10" s="15" t="s">
        <v>60</v>
      </c>
    </row>
    <row r="11" ht="38" customHeight="1" spans="1:18">
      <c r="A11" s="12" t="s">
        <v>61</v>
      </c>
      <c r="B11" s="12" t="s">
        <v>29</v>
      </c>
      <c r="C11" s="12" t="s">
        <v>62</v>
      </c>
      <c r="D11" s="12" t="s">
        <v>63</v>
      </c>
      <c r="E11" s="12" t="s">
        <v>20</v>
      </c>
      <c r="F11" s="12" t="s">
        <v>32</v>
      </c>
      <c r="G11" s="13">
        <v>2021</v>
      </c>
      <c r="H11" s="13">
        <v>2026</v>
      </c>
      <c r="I11" s="13" t="s">
        <v>20</v>
      </c>
      <c r="J11" s="12" t="s">
        <v>26</v>
      </c>
      <c r="K11" s="14" t="str">
        <f t="shared" si="0"/>
        <v>2021–Present</v>
      </c>
      <c r="L11" s="12" t="s">
        <v>50</v>
      </c>
      <c r="M11" s="12" t="s">
        <v>20</v>
      </c>
      <c r="N11" s="12" t="s">
        <v>20</v>
      </c>
      <c r="O11" s="12" t="s">
        <v>20</v>
      </c>
      <c r="P11" s="12" t="s">
        <v>20</v>
      </c>
      <c r="Q11" s="15" t="s">
        <v>64</v>
      </c>
      <c r="R11" s="15" t="s">
        <v>65</v>
      </c>
    </row>
    <row r="12" ht="38" customHeight="1" spans="1:18">
      <c r="A12" s="12" t="s">
        <v>66</v>
      </c>
      <c r="B12" s="12" t="s">
        <v>29</v>
      </c>
      <c r="C12" s="12" t="s">
        <v>67</v>
      </c>
      <c r="D12" s="12" t="s">
        <v>68</v>
      </c>
      <c r="E12" s="12" t="s">
        <v>20</v>
      </c>
      <c r="F12" s="12" t="s">
        <v>32</v>
      </c>
      <c r="G12" s="13">
        <v>2022</v>
      </c>
      <c r="H12" s="13">
        <v>2027</v>
      </c>
      <c r="I12" s="13" t="s">
        <v>20</v>
      </c>
      <c r="J12" s="12" t="s">
        <v>26</v>
      </c>
      <c r="K12" s="14" t="str">
        <f t="shared" si="0"/>
        <v>2022–Present</v>
      </c>
      <c r="L12" s="12" t="s">
        <v>69</v>
      </c>
      <c r="M12" s="12" t="s">
        <v>20</v>
      </c>
      <c r="N12" s="12" t="s">
        <v>20</v>
      </c>
      <c r="O12" s="12" t="s">
        <v>20</v>
      </c>
      <c r="P12" s="12" t="s">
        <v>20</v>
      </c>
      <c r="Q12" s="15" t="s">
        <v>34</v>
      </c>
      <c r="R12" s="15" t="s">
        <v>20</v>
      </c>
    </row>
    <row r="13" ht="38" customHeight="1" spans="1:18">
      <c r="A13" s="12" t="s">
        <v>70</v>
      </c>
      <c r="B13" s="12" t="s">
        <v>29</v>
      </c>
      <c r="C13" s="12" t="s">
        <v>71</v>
      </c>
      <c r="D13" s="12" t="s">
        <v>72</v>
      </c>
      <c r="E13" s="12" t="s">
        <v>20</v>
      </c>
      <c r="F13" s="12" t="s">
        <v>32</v>
      </c>
      <c r="G13" s="13">
        <v>2022</v>
      </c>
      <c r="H13" s="13">
        <v>2027</v>
      </c>
      <c r="I13" s="13" t="s">
        <v>20</v>
      </c>
      <c r="J13" s="12" t="s">
        <v>26</v>
      </c>
      <c r="K13" s="14" t="str">
        <f t="shared" si="0"/>
        <v>2022–Present</v>
      </c>
      <c r="L13" s="12" t="s">
        <v>73</v>
      </c>
      <c r="M13" s="12" t="s">
        <v>20</v>
      </c>
      <c r="N13" s="12" t="s">
        <v>20</v>
      </c>
      <c r="O13" s="12" t="s">
        <v>20</v>
      </c>
      <c r="P13" s="12" t="s">
        <v>20</v>
      </c>
      <c r="Q13" s="15" t="s">
        <v>34</v>
      </c>
      <c r="R13" s="15" t="s">
        <v>20</v>
      </c>
    </row>
    <row r="14" ht="38" customHeight="1" spans="1:18">
      <c r="A14" s="12" t="s">
        <v>74</v>
      </c>
      <c r="B14" s="12" t="s">
        <v>29</v>
      </c>
      <c r="C14" s="12" t="s">
        <v>75</v>
      </c>
      <c r="D14" s="12" t="s">
        <v>76</v>
      </c>
      <c r="E14" s="12" t="s">
        <v>20</v>
      </c>
      <c r="F14" s="12" t="s">
        <v>32</v>
      </c>
      <c r="G14" s="13">
        <v>2023</v>
      </c>
      <c r="H14" s="13">
        <v>2028</v>
      </c>
      <c r="I14" s="13" t="s">
        <v>20</v>
      </c>
      <c r="J14" s="12" t="s">
        <v>26</v>
      </c>
      <c r="K14" s="14" t="str">
        <f t="shared" si="0"/>
        <v>2023–Present</v>
      </c>
      <c r="L14" s="12" t="s">
        <v>43</v>
      </c>
      <c r="M14" s="12" t="s">
        <v>20</v>
      </c>
      <c r="N14" s="12" t="s">
        <v>20</v>
      </c>
      <c r="O14" s="12" t="s">
        <v>20</v>
      </c>
      <c r="P14" s="12" t="s">
        <v>20</v>
      </c>
      <c r="Q14" s="15" t="s">
        <v>39</v>
      </c>
      <c r="R14" s="15" t="s">
        <v>20</v>
      </c>
    </row>
    <row r="15" ht="38" customHeight="1" spans="1:18">
      <c r="A15" s="12" t="s">
        <v>77</v>
      </c>
      <c r="B15" s="12" t="s">
        <v>29</v>
      </c>
      <c r="C15" s="12" t="s">
        <v>78</v>
      </c>
      <c r="D15" s="12" t="s">
        <v>79</v>
      </c>
      <c r="E15" s="12" t="s">
        <v>20</v>
      </c>
      <c r="F15" s="12" t="s">
        <v>32</v>
      </c>
      <c r="G15" s="13">
        <v>2023</v>
      </c>
      <c r="H15" s="13">
        <v>2028</v>
      </c>
      <c r="I15" s="13" t="s">
        <v>20</v>
      </c>
      <c r="J15" s="12" t="s">
        <v>26</v>
      </c>
      <c r="K15" s="14" t="str">
        <f t="shared" si="0"/>
        <v>2023–Present</v>
      </c>
      <c r="L15" s="12" t="s">
        <v>69</v>
      </c>
      <c r="M15" s="12" t="s">
        <v>20</v>
      </c>
      <c r="N15" s="12" t="s">
        <v>20</v>
      </c>
      <c r="O15" s="12" t="s">
        <v>20</v>
      </c>
      <c r="P15" s="12" t="s">
        <v>20</v>
      </c>
      <c r="Q15" s="15" t="s">
        <v>39</v>
      </c>
      <c r="R15" s="15" t="s">
        <v>20</v>
      </c>
    </row>
    <row r="16" ht="38" customHeight="1" spans="1:18">
      <c r="A16" s="12" t="s">
        <v>80</v>
      </c>
      <c r="B16" s="12" t="s">
        <v>29</v>
      </c>
      <c r="C16" s="12" t="s">
        <v>81</v>
      </c>
      <c r="D16" s="12" t="s">
        <v>82</v>
      </c>
      <c r="E16" s="12" t="s">
        <v>20</v>
      </c>
      <c r="F16" s="12" t="s">
        <v>32</v>
      </c>
      <c r="G16" s="13">
        <v>2024</v>
      </c>
      <c r="H16" s="13">
        <v>2029</v>
      </c>
      <c r="I16" s="13" t="s">
        <v>20</v>
      </c>
      <c r="J16" s="12" t="s">
        <v>26</v>
      </c>
      <c r="K16" s="14" t="str">
        <f t="shared" si="0"/>
        <v>2024–Present</v>
      </c>
      <c r="L16" s="12" t="s">
        <v>50</v>
      </c>
      <c r="M16" s="12" t="s">
        <v>20</v>
      </c>
      <c r="N16" s="12" t="s">
        <v>20</v>
      </c>
      <c r="O16" s="12" t="s">
        <v>20</v>
      </c>
      <c r="P16" s="12" t="s">
        <v>20</v>
      </c>
      <c r="Q16" s="15" t="s">
        <v>44</v>
      </c>
      <c r="R16" s="15" t="s">
        <v>20</v>
      </c>
    </row>
    <row r="17" ht="38" customHeight="1" spans="1:18">
      <c r="A17" s="12" t="s">
        <v>83</v>
      </c>
      <c r="B17" s="12" t="s">
        <v>84</v>
      </c>
      <c r="C17" s="12" t="s">
        <v>85</v>
      </c>
      <c r="D17" s="12" t="s">
        <v>86</v>
      </c>
      <c r="E17" s="12" t="s">
        <v>20</v>
      </c>
      <c r="F17" s="12" t="s">
        <v>84</v>
      </c>
      <c r="G17" s="13">
        <v>2024</v>
      </c>
      <c r="H17" s="13" t="s">
        <v>20</v>
      </c>
      <c r="I17" s="13" t="s">
        <v>20</v>
      </c>
      <c r="J17" s="12" t="s">
        <v>26</v>
      </c>
      <c r="K17" s="14" t="str">
        <f t="shared" si="0"/>
        <v>2024–Present</v>
      </c>
      <c r="L17" s="16"/>
      <c r="M17" s="16"/>
      <c r="N17" s="12" t="s">
        <v>87</v>
      </c>
      <c r="O17" s="12" t="s">
        <v>20</v>
      </c>
      <c r="P17" s="12" t="s">
        <v>88</v>
      </c>
      <c r="Q17" s="15" t="s">
        <v>89</v>
      </c>
      <c r="R17" s="15" t="s">
        <v>20</v>
      </c>
    </row>
    <row r="18" ht="38" customHeight="1" spans="1:18">
      <c r="A18" s="12" t="s">
        <v>90</v>
      </c>
      <c r="B18" s="12" t="s">
        <v>84</v>
      </c>
      <c r="C18" s="12" t="s">
        <v>91</v>
      </c>
      <c r="D18" s="12" t="s">
        <v>92</v>
      </c>
      <c r="E18" s="12" t="s">
        <v>20</v>
      </c>
      <c r="F18" s="12" t="s">
        <v>84</v>
      </c>
      <c r="G18" s="13">
        <v>2024</v>
      </c>
      <c r="H18" s="13" t="s">
        <v>20</v>
      </c>
      <c r="I18" s="13" t="s">
        <v>20</v>
      </c>
      <c r="J18" s="12" t="s">
        <v>26</v>
      </c>
      <c r="K18" s="14" t="str">
        <f t="shared" si="0"/>
        <v>2024–Present</v>
      </c>
      <c r="L18" s="12" t="s">
        <v>20</v>
      </c>
      <c r="M18" s="12" t="s">
        <v>20</v>
      </c>
      <c r="N18" s="16" t="s">
        <v>93</v>
      </c>
      <c r="O18" s="12" t="s">
        <v>20</v>
      </c>
      <c r="P18" s="12" t="s">
        <v>94</v>
      </c>
      <c r="Q18" s="15" t="s">
        <v>20</v>
      </c>
      <c r="R18" s="15" t="s">
        <v>20</v>
      </c>
    </row>
    <row r="19" ht="38" customHeight="1" spans="1:18">
      <c r="A19" s="12" t="s">
        <v>95</v>
      </c>
      <c r="B19" s="12" t="s">
        <v>84</v>
      </c>
      <c r="C19" s="12" t="s">
        <v>96</v>
      </c>
      <c r="D19" s="12" t="s">
        <v>97</v>
      </c>
      <c r="E19" s="12" t="s">
        <v>20</v>
      </c>
      <c r="F19" s="12" t="s">
        <v>84</v>
      </c>
      <c r="G19" s="13">
        <v>2026</v>
      </c>
      <c r="H19" s="13" t="s">
        <v>20</v>
      </c>
      <c r="I19" s="13" t="s">
        <v>20</v>
      </c>
      <c r="J19" s="12" t="s">
        <v>26</v>
      </c>
      <c r="K19" s="14" t="str">
        <f t="shared" si="0"/>
        <v>2026–Present</v>
      </c>
      <c r="L19" s="12" t="s">
        <v>20</v>
      </c>
      <c r="M19" s="12"/>
      <c r="N19" s="12" t="s">
        <v>56</v>
      </c>
      <c r="O19" s="12" t="s">
        <v>20</v>
      </c>
      <c r="P19" s="12" t="s">
        <v>98</v>
      </c>
      <c r="Q19" s="15" t="s">
        <v>99</v>
      </c>
      <c r="R19" s="15" t="s">
        <v>100</v>
      </c>
    </row>
    <row r="20" ht="38" customHeight="1" spans="1:18">
      <c r="A20" s="12"/>
      <c r="B20" s="12" t="s">
        <v>101</v>
      </c>
      <c r="C20" s="16" t="s">
        <v>102</v>
      </c>
      <c r="D20" s="12"/>
      <c r="E20" s="12" t="s">
        <v>20</v>
      </c>
      <c r="F20" s="12" t="s">
        <v>32</v>
      </c>
      <c r="G20" s="13">
        <v>2020</v>
      </c>
      <c r="H20" s="13">
        <v>2025</v>
      </c>
      <c r="I20" s="13" t="s">
        <v>20</v>
      </c>
      <c r="J20" s="12" t="s">
        <v>26</v>
      </c>
      <c r="K20" s="14" t="str">
        <f t="shared" si="0"/>
        <v>2020–Present</v>
      </c>
      <c r="L20" s="16" t="s">
        <v>103</v>
      </c>
      <c r="M20" s="12"/>
      <c r="N20" s="12"/>
      <c r="O20" s="12" t="s">
        <v>104</v>
      </c>
      <c r="P20" s="12"/>
      <c r="Q20" s="15"/>
      <c r="R20" s="15"/>
    </row>
    <row r="21" ht="38" customHeight="1" spans="1:18">
      <c r="A21" s="12"/>
      <c r="B21" s="12" t="s">
        <v>101</v>
      </c>
      <c r="C21" s="16" t="s">
        <v>105</v>
      </c>
      <c r="D21" s="12"/>
      <c r="E21" s="12" t="s">
        <v>20</v>
      </c>
      <c r="F21" s="12" t="s">
        <v>32</v>
      </c>
      <c r="G21" s="13">
        <v>2020</v>
      </c>
      <c r="H21" s="13">
        <v>2026</v>
      </c>
      <c r="I21" s="13" t="s">
        <v>20</v>
      </c>
      <c r="J21" s="12" t="s">
        <v>26</v>
      </c>
      <c r="K21" s="14" t="str">
        <f t="shared" si="0"/>
        <v>2020–Present</v>
      </c>
      <c r="L21" s="16" t="s">
        <v>106</v>
      </c>
      <c r="M21" s="12"/>
      <c r="N21" s="12"/>
      <c r="O21" s="12" t="s">
        <v>84</v>
      </c>
      <c r="P21" s="12"/>
      <c r="Q21" s="15"/>
      <c r="R21" s="15"/>
    </row>
    <row r="22" ht="38" customHeight="1" spans="1:18">
      <c r="A22" s="12"/>
      <c r="B22" s="12" t="s">
        <v>101</v>
      </c>
      <c r="C22" s="16" t="s">
        <v>107</v>
      </c>
      <c r="D22" s="12"/>
      <c r="E22" s="12" t="s">
        <v>20</v>
      </c>
      <c r="F22" s="12" t="s">
        <v>32</v>
      </c>
      <c r="G22" s="13">
        <v>2020</v>
      </c>
      <c r="H22" s="13">
        <v>2026</v>
      </c>
      <c r="I22" s="13" t="s">
        <v>20</v>
      </c>
      <c r="J22" s="12" t="s">
        <v>26</v>
      </c>
      <c r="K22" s="14" t="str">
        <f t="shared" si="0"/>
        <v>2020–Present</v>
      </c>
      <c r="L22" s="16" t="s">
        <v>106</v>
      </c>
      <c r="M22" s="12"/>
      <c r="N22" s="12"/>
      <c r="O22" s="12" t="s">
        <v>84</v>
      </c>
      <c r="P22" s="12"/>
      <c r="Q22" s="15"/>
      <c r="R22" s="15"/>
    </row>
    <row r="23" ht="38" customHeight="1" spans="1:18">
      <c r="A23" s="12"/>
      <c r="B23" s="12" t="s">
        <v>101</v>
      </c>
      <c r="C23" s="16" t="s">
        <v>108</v>
      </c>
      <c r="D23" s="12"/>
      <c r="E23" s="12" t="s">
        <v>20</v>
      </c>
      <c r="F23" s="12" t="s">
        <v>32</v>
      </c>
      <c r="G23" s="13">
        <v>2020</v>
      </c>
      <c r="H23" s="13">
        <v>2026</v>
      </c>
      <c r="I23" s="13" t="s">
        <v>20</v>
      </c>
      <c r="J23" s="12" t="s">
        <v>26</v>
      </c>
      <c r="K23" s="14" t="str">
        <f t="shared" si="0"/>
        <v>2020–Present</v>
      </c>
      <c r="L23" s="16"/>
      <c r="M23" s="12"/>
      <c r="N23" s="16" t="s">
        <v>93</v>
      </c>
      <c r="O23" s="12" t="s">
        <v>84</v>
      </c>
      <c r="P23" s="12"/>
      <c r="Q23" s="15"/>
      <c r="R23" s="15"/>
    </row>
    <row r="24" ht="38" customHeight="1" spans="1:18">
      <c r="A24" s="12"/>
      <c r="B24" s="12" t="s">
        <v>101</v>
      </c>
      <c r="C24" s="16" t="s">
        <v>109</v>
      </c>
      <c r="D24" s="12"/>
      <c r="E24" s="12" t="s">
        <v>20</v>
      </c>
      <c r="F24" s="12" t="s">
        <v>32</v>
      </c>
      <c r="G24" s="13">
        <v>2020</v>
      </c>
      <c r="H24" s="13">
        <v>2026</v>
      </c>
      <c r="I24" s="13" t="s">
        <v>20</v>
      </c>
      <c r="J24" s="12" t="s">
        <v>26</v>
      </c>
      <c r="K24" s="14" t="str">
        <f t="shared" si="0"/>
        <v>2020–Present</v>
      </c>
      <c r="L24" s="16" t="s">
        <v>106</v>
      </c>
      <c r="M24" s="12"/>
      <c r="N24" s="12"/>
      <c r="O24" s="12" t="s">
        <v>84</v>
      </c>
      <c r="P24" s="12"/>
      <c r="Q24" s="15"/>
      <c r="R24" s="15"/>
    </row>
    <row r="25" ht="38" customHeight="1" spans="1:18">
      <c r="A25" s="12"/>
      <c r="B25" s="12" t="s">
        <v>101</v>
      </c>
      <c r="C25" s="16" t="s">
        <v>110</v>
      </c>
      <c r="D25" s="12"/>
      <c r="E25" s="12" t="s">
        <v>20</v>
      </c>
      <c r="F25" s="12" t="s">
        <v>32</v>
      </c>
      <c r="G25" s="13">
        <v>2020</v>
      </c>
      <c r="H25" s="13">
        <v>2026</v>
      </c>
      <c r="I25" s="13" t="s">
        <v>20</v>
      </c>
      <c r="J25" s="12" t="s">
        <v>26</v>
      </c>
      <c r="K25" s="14" t="str">
        <f t="shared" si="0"/>
        <v>2020–Present</v>
      </c>
      <c r="L25" s="16" t="s">
        <v>106</v>
      </c>
      <c r="M25" s="12"/>
      <c r="N25" s="12"/>
      <c r="O25" s="12" t="s">
        <v>84</v>
      </c>
      <c r="P25" s="12"/>
      <c r="Q25" s="15"/>
      <c r="R25" s="15"/>
    </row>
    <row r="26" ht="38" customHeight="1" spans="1:18">
      <c r="A26" s="12"/>
      <c r="B26" s="12" t="s">
        <v>101</v>
      </c>
      <c r="C26" s="16" t="s">
        <v>111</v>
      </c>
      <c r="D26" s="12"/>
      <c r="E26" s="12" t="s">
        <v>20</v>
      </c>
      <c r="F26" s="12" t="s">
        <v>32</v>
      </c>
      <c r="G26" s="13">
        <v>2020</v>
      </c>
      <c r="H26" s="13">
        <v>2026</v>
      </c>
      <c r="I26" s="13" t="s">
        <v>20</v>
      </c>
      <c r="J26" s="12" t="s">
        <v>26</v>
      </c>
      <c r="K26" s="14" t="str">
        <f t="shared" si="0"/>
        <v>2020–Present</v>
      </c>
      <c r="L26" s="16" t="s">
        <v>106</v>
      </c>
      <c r="M26" s="12"/>
      <c r="N26" s="12"/>
      <c r="O26" s="12" t="s">
        <v>84</v>
      </c>
      <c r="P26" s="12"/>
      <c r="Q26" s="15"/>
      <c r="R26" s="15"/>
    </row>
    <row r="27" ht="38" customHeight="1" spans="1:18">
      <c r="A27" s="12"/>
      <c r="B27" s="12" t="s">
        <v>101</v>
      </c>
      <c r="C27" s="16" t="s">
        <v>112</v>
      </c>
      <c r="D27" s="12"/>
      <c r="E27" s="12" t="s">
        <v>20</v>
      </c>
      <c r="F27" s="12" t="s">
        <v>32</v>
      </c>
      <c r="G27" s="13">
        <v>2020</v>
      </c>
      <c r="H27" s="13">
        <v>2026</v>
      </c>
      <c r="I27" s="13" t="s">
        <v>20</v>
      </c>
      <c r="J27" s="12" t="s">
        <v>26</v>
      </c>
      <c r="K27" s="14" t="str">
        <f t="shared" si="0"/>
        <v>2020–Present</v>
      </c>
      <c r="L27" s="16" t="s">
        <v>106</v>
      </c>
      <c r="M27" s="12"/>
      <c r="N27" s="12"/>
      <c r="O27" s="12" t="s">
        <v>84</v>
      </c>
      <c r="P27" s="12"/>
      <c r="Q27" s="15"/>
      <c r="R27" s="15"/>
    </row>
    <row r="28" ht="38" customHeight="1" spans="1:18">
      <c r="A28" s="12"/>
      <c r="B28" s="12" t="s">
        <v>101</v>
      </c>
      <c r="C28" s="16" t="s">
        <v>113</v>
      </c>
      <c r="D28" s="12"/>
      <c r="E28" s="12" t="s">
        <v>20</v>
      </c>
      <c r="F28" s="12" t="s">
        <v>32</v>
      </c>
      <c r="G28" s="13">
        <v>2020</v>
      </c>
      <c r="H28" s="13">
        <v>2026</v>
      </c>
      <c r="I28" s="13" t="s">
        <v>20</v>
      </c>
      <c r="J28" s="12" t="s">
        <v>26</v>
      </c>
      <c r="K28" s="14" t="str">
        <f t="shared" si="0"/>
        <v>2020–Present</v>
      </c>
      <c r="L28" s="16"/>
      <c r="M28" s="12"/>
      <c r="N28" s="16" t="s">
        <v>93</v>
      </c>
      <c r="O28" s="12" t="s">
        <v>84</v>
      </c>
      <c r="P28" s="12"/>
      <c r="Q28" s="15"/>
      <c r="R28" s="15"/>
    </row>
    <row r="29" ht="38" customHeight="1" spans="1:18">
      <c r="A29" s="12"/>
      <c r="B29" s="12" t="s">
        <v>101</v>
      </c>
      <c r="C29" s="16" t="s">
        <v>114</v>
      </c>
      <c r="D29" s="12"/>
      <c r="E29" s="12" t="s">
        <v>20</v>
      </c>
      <c r="F29" s="12" t="s">
        <v>84</v>
      </c>
      <c r="G29" s="13">
        <v>2020</v>
      </c>
      <c r="H29" s="13">
        <v>2026</v>
      </c>
      <c r="I29" s="13" t="s">
        <v>20</v>
      </c>
      <c r="J29" s="12" t="s">
        <v>26</v>
      </c>
      <c r="K29" s="14" t="str">
        <f t="shared" si="0"/>
        <v>2020–Present</v>
      </c>
      <c r="L29" s="16" t="s">
        <v>106</v>
      </c>
      <c r="M29" s="12"/>
      <c r="N29" s="12"/>
      <c r="O29" s="12" t="s">
        <v>84</v>
      </c>
      <c r="P29" s="12"/>
      <c r="Q29" s="15"/>
      <c r="R29" s="15"/>
    </row>
    <row r="30" ht="38" customHeight="1" spans="1:18">
      <c r="A30" s="12"/>
      <c r="B30" s="12" t="s">
        <v>101</v>
      </c>
      <c r="C30" s="16" t="s">
        <v>115</v>
      </c>
      <c r="D30" s="12"/>
      <c r="E30" s="12" t="s">
        <v>20</v>
      </c>
      <c r="F30" s="12" t="s">
        <v>84</v>
      </c>
      <c r="G30" s="13">
        <v>2020</v>
      </c>
      <c r="H30" s="13">
        <v>2026</v>
      </c>
      <c r="I30" s="13" t="s">
        <v>20</v>
      </c>
      <c r="J30" s="12" t="s">
        <v>26</v>
      </c>
      <c r="K30" s="14" t="str">
        <f t="shared" si="0"/>
        <v>2020–Present</v>
      </c>
      <c r="L30" s="16"/>
      <c r="M30" s="12"/>
      <c r="N30" s="16" t="s">
        <v>93</v>
      </c>
      <c r="O30" s="12" t="s">
        <v>84</v>
      </c>
      <c r="P30" s="12"/>
      <c r="Q30" s="15"/>
      <c r="R30" s="15"/>
    </row>
    <row r="31" ht="38" customHeight="1" spans="1:18">
      <c r="A31" s="12"/>
      <c r="B31" s="12" t="s">
        <v>101</v>
      </c>
      <c r="C31" s="16" t="s">
        <v>116</v>
      </c>
      <c r="D31" s="12"/>
      <c r="E31" s="12" t="s">
        <v>20</v>
      </c>
      <c r="F31" s="12" t="s">
        <v>84</v>
      </c>
      <c r="G31" s="13">
        <v>2020</v>
      </c>
      <c r="H31" s="13">
        <v>2026</v>
      </c>
      <c r="I31" s="13" t="s">
        <v>20</v>
      </c>
      <c r="J31" s="12" t="s">
        <v>26</v>
      </c>
      <c r="K31" s="14" t="str">
        <f t="shared" si="0"/>
        <v>2020–Present</v>
      </c>
      <c r="L31" s="16"/>
      <c r="M31" s="12"/>
      <c r="N31" s="16" t="s">
        <v>93</v>
      </c>
      <c r="O31" s="12" t="s">
        <v>84</v>
      </c>
      <c r="P31" s="12"/>
      <c r="Q31" s="15"/>
      <c r="R31" s="15"/>
    </row>
    <row r="32" ht="38" customHeight="1" spans="1:18">
      <c r="A32" s="12"/>
      <c r="B32" s="12" t="s">
        <v>101</v>
      </c>
      <c r="C32" s="16" t="s">
        <v>117</v>
      </c>
      <c r="D32" s="12"/>
      <c r="E32" s="12" t="s">
        <v>20</v>
      </c>
      <c r="F32" s="16" t="s">
        <v>118</v>
      </c>
      <c r="G32" s="13">
        <v>2020</v>
      </c>
      <c r="H32" s="13">
        <v>2026</v>
      </c>
      <c r="I32" s="13" t="s">
        <v>20</v>
      </c>
      <c r="J32" s="12" t="s">
        <v>26</v>
      </c>
      <c r="K32" s="14" t="str">
        <f t="shared" si="0"/>
        <v>2020–Present</v>
      </c>
      <c r="L32" s="16"/>
      <c r="M32" s="12"/>
      <c r="N32" s="16"/>
      <c r="O32" s="12" t="s">
        <v>84</v>
      </c>
      <c r="P32" s="12"/>
      <c r="Q32" s="15"/>
      <c r="R32" s="15"/>
    </row>
    <row r="33" ht="38" customHeight="1" spans="1:18">
      <c r="A33" s="12"/>
      <c r="B33" s="12" t="s">
        <v>101</v>
      </c>
      <c r="C33" s="16" t="s">
        <v>119</v>
      </c>
      <c r="D33" s="12"/>
      <c r="E33" s="12" t="s">
        <v>20</v>
      </c>
      <c r="F33" s="12" t="s">
        <v>84</v>
      </c>
      <c r="G33" s="13">
        <v>2020</v>
      </c>
      <c r="H33" s="13">
        <v>2026</v>
      </c>
      <c r="I33" s="13" t="s">
        <v>20</v>
      </c>
      <c r="J33" s="12" t="s">
        <v>26</v>
      </c>
      <c r="K33" s="14" t="str">
        <f t="shared" si="0"/>
        <v>2020–Present</v>
      </c>
      <c r="L33" s="16"/>
      <c r="M33" s="12"/>
      <c r="N33" s="16" t="s">
        <v>120</v>
      </c>
      <c r="O33" s="12" t="s">
        <v>84</v>
      </c>
      <c r="P33" s="12"/>
      <c r="Q33" s="15"/>
      <c r="R33" s="15"/>
    </row>
    <row r="34" ht="38" customHeight="1" spans="1:18">
      <c r="A34" s="12"/>
      <c r="B34" s="12" t="s">
        <v>101</v>
      </c>
      <c r="C34" s="16" t="s">
        <v>110</v>
      </c>
      <c r="D34" s="12"/>
      <c r="E34" s="12" t="s">
        <v>20</v>
      </c>
      <c r="F34" s="12" t="s">
        <v>84</v>
      </c>
      <c r="G34" s="13">
        <v>2020</v>
      </c>
      <c r="H34" s="13">
        <v>2026</v>
      </c>
      <c r="I34" s="13" t="s">
        <v>20</v>
      </c>
      <c r="J34" s="12" t="s">
        <v>26</v>
      </c>
      <c r="K34" s="14" t="str">
        <f t="shared" si="0"/>
        <v>2020–Present</v>
      </c>
      <c r="L34" s="16"/>
      <c r="M34" s="12"/>
      <c r="N34" s="12"/>
      <c r="O34" s="12" t="s">
        <v>84</v>
      </c>
      <c r="P34" s="12"/>
      <c r="Q34" s="15"/>
      <c r="R34" s="15"/>
    </row>
  </sheetData>
  <conditionalFormatting sqref="J20">
    <cfRule type="containsText" dxfId="0" priority="30" operator="between" text="Graduated">
      <formula>NOT(ISERROR(SEARCH("Graduated",J20)))</formula>
    </cfRule>
    <cfRule type="containsText" dxfId="1" priority="29" operator="between" text="Current">
      <formula>NOT(ISERROR(SEARCH("Current",J20)))</formula>
    </cfRule>
  </conditionalFormatting>
  <conditionalFormatting sqref="J21">
    <cfRule type="containsText" dxfId="0" priority="28" operator="between" text="Graduated">
      <formula>NOT(ISERROR(SEARCH("Graduated",J21)))</formula>
    </cfRule>
    <cfRule type="containsText" dxfId="1" priority="27" operator="between" text="Current">
      <formula>NOT(ISERROR(SEARCH("Current",J21)))</formula>
    </cfRule>
  </conditionalFormatting>
  <conditionalFormatting sqref="J22">
    <cfRule type="containsText" dxfId="0" priority="26" operator="between" text="Graduated">
      <formula>NOT(ISERROR(SEARCH("Graduated",J22)))</formula>
    </cfRule>
    <cfRule type="containsText" dxfId="1" priority="25" operator="between" text="Current">
      <formula>NOT(ISERROR(SEARCH("Current",J22)))</formula>
    </cfRule>
  </conditionalFormatting>
  <conditionalFormatting sqref="J23">
    <cfRule type="containsText" dxfId="0" priority="24" operator="between" text="Graduated">
      <formula>NOT(ISERROR(SEARCH("Graduated",J23)))</formula>
    </cfRule>
    <cfRule type="containsText" dxfId="1" priority="23" operator="between" text="Current">
      <formula>NOT(ISERROR(SEARCH("Current",J23)))</formula>
    </cfRule>
  </conditionalFormatting>
  <conditionalFormatting sqref="J24">
    <cfRule type="containsText" dxfId="0" priority="22" operator="between" text="Graduated">
      <formula>NOT(ISERROR(SEARCH("Graduated",J24)))</formula>
    </cfRule>
    <cfRule type="containsText" dxfId="1" priority="21" operator="between" text="Current">
      <formula>NOT(ISERROR(SEARCH("Current",J24)))</formula>
    </cfRule>
  </conditionalFormatting>
  <conditionalFormatting sqref="J25">
    <cfRule type="containsText" dxfId="0" priority="20" operator="between" text="Graduated">
      <formula>NOT(ISERROR(SEARCH("Graduated",J25)))</formula>
    </cfRule>
    <cfRule type="containsText" dxfId="1" priority="19" operator="between" text="Current">
      <formula>NOT(ISERROR(SEARCH("Current",J25)))</formula>
    </cfRule>
  </conditionalFormatting>
  <conditionalFormatting sqref="J26">
    <cfRule type="containsText" dxfId="0" priority="18" operator="between" text="Graduated">
      <formula>NOT(ISERROR(SEARCH("Graduated",J26)))</formula>
    </cfRule>
    <cfRule type="containsText" dxfId="1" priority="17" operator="between" text="Current">
      <formula>NOT(ISERROR(SEARCH("Current",J26)))</formula>
    </cfRule>
  </conditionalFormatting>
  <conditionalFormatting sqref="J27">
    <cfRule type="containsText" dxfId="0" priority="16" operator="between" text="Graduated">
      <formula>NOT(ISERROR(SEARCH("Graduated",J27)))</formula>
    </cfRule>
    <cfRule type="containsText" dxfId="1" priority="15" operator="between" text="Current">
      <formula>NOT(ISERROR(SEARCH("Current",J27)))</formula>
    </cfRule>
  </conditionalFormatting>
  <conditionalFormatting sqref="J28">
    <cfRule type="containsText" dxfId="0" priority="14" operator="between" text="Graduated">
      <formula>NOT(ISERROR(SEARCH("Graduated",J28)))</formula>
    </cfRule>
    <cfRule type="containsText" dxfId="1" priority="13" operator="between" text="Current">
      <formula>NOT(ISERROR(SEARCH("Current",J28)))</formula>
    </cfRule>
  </conditionalFormatting>
  <conditionalFormatting sqref="J29">
    <cfRule type="containsText" dxfId="0" priority="12" operator="between" text="Graduated">
      <formula>NOT(ISERROR(SEARCH("Graduated",J29)))</formula>
    </cfRule>
    <cfRule type="containsText" dxfId="1" priority="11" operator="between" text="Current">
      <formula>NOT(ISERROR(SEARCH("Current",J29)))</formula>
    </cfRule>
  </conditionalFormatting>
  <conditionalFormatting sqref="J30">
    <cfRule type="containsText" dxfId="0" priority="10" operator="between" text="Graduated">
      <formula>NOT(ISERROR(SEARCH("Graduated",J30)))</formula>
    </cfRule>
    <cfRule type="containsText" dxfId="1" priority="9" operator="between" text="Current">
      <formula>NOT(ISERROR(SEARCH("Current",J30)))</formula>
    </cfRule>
  </conditionalFormatting>
  <conditionalFormatting sqref="J31">
    <cfRule type="containsText" dxfId="0" priority="8" operator="between" text="Graduated">
      <formula>NOT(ISERROR(SEARCH("Graduated",J31)))</formula>
    </cfRule>
    <cfRule type="containsText" dxfId="1" priority="7" operator="between" text="Current">
      <formula>NOT(ISERROR(SEARCH("Current",J31)))</formula>
    </cfRule>
  </conditionalFormatting>
  <conditionalFormatting sqref="J32">
    <cfRule type="containsText" dxfId="0" priority="6" operator="between" text="Graduated">
      <formula>NOT(ISERROR(SEARCH("Graduated",J32)))</formula>
    </cfRule>
    <cfRule type="containsText" dxfId="1" priority="5" operator="between" text="Current">
      <formula>NOT(ISERROR(SEARCH("Current",J32)))</formula>
    </cfRule>
  </conditionalFormatting>
  <conditionalFormatting sqref="J33">
    <cfRule type="containsText" dxfId="0" priority="4" operator="between" text="Graduated">
      <formula>NOT(ISERROR(SEARCH("Graduated",J33)))</formula>
    </cfRule>
    <cfRule type="containsText" dxfId="1" priority="3" operator="between" text="Current">
      <formula>NOT(ISERROR(SEARCH("Current",J33)))</formula>
    </cfRule>
  </conditionalFormatting>
  <conditionalFormatting sqref="J34">
    <cfRule type="containsText" dxfId="0" priority="2" operator="between" text="Graduated">
      <formula>NOT(ISERROR(SEARCH("Graduated",J34)))</formula>
    </cfRule>
    <cfRule type="containsText" dxfId="1" priority="1" operator="between" text="Current">
      <formula>NOT(ISERROR(SEARCH("Current",J34)))</formula>
    </cfRule>
  </conditionalFormatting>
  <conditionalFormatting sqref="J5:J19 J35:J200">
    <cfRule type="containsText" dxfId="1" priority="31" operator="between" text="Current">
      <formula>NOT(ISERROR(SEARCH("Current",J5)))</formula>
    </cfRule>
    <cfRule type="containsText" dxfId="0" priority="32" operator="between" text="Graduated">
      <formula>NOT(ISERROR(SEARCH("Graduated",J5)))</formula>
    </cfRule>
  </conditionalFormatting>
  <dataValidations count="3">
    <dataValidation type="list" sqref="B20 B21 B22 B23 B24 B25 B26 B27 B28 B29 B30 B31 B32 B33 B34 B5:B19 B35:B200">
      <formula1>"Principal Investigator,Doctoral Student,Postdoctoral Researcher,Alumni"</formula1>
    </dataValidation>
    <dataValidation type="list" sqref="F20 F21 F22 F23 F24 F25 F26 F27 F28 F29 F30 F31 F32 F33 F34 F5:F19 F35:F200">
      <formula1>"Professor,Direct Ph.D.,Ph.D.,Postdoctoral Researcher"</formula1>
    </dataValidation>
    <dataValidation type="list" sqref="J20 J21 J22 J23 J24 J25 J26 J27 J28 J29 J30 J31 J32 J33 J34 J5:J19 J35:J200">
      <formula1>"Current,Graduated,Completed,Left"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workbookViewId="0">
      <selection activeCell="A1" sqref="A1"/>
    </sheetView>
  </sheetViews>
  <sheetFormatPr defaultColWidth="9" defaultRowHeight="14.25" outlineLevelCol="5"/>
  <cols>
    <col min="1" max="1" width="24" customWidth="1"/>
    <col min="2" max="2" width="82" customWidth="1"/>
  </cols>
  <sheetData>
    <row r="1" ht="30" customHeight="1" spans="1:6">
      <c r="A1" s="1" t="s">
        <v>121</v>
      </c>
      <c r="B1" s="1"/>
      <c r="C1" s="1"/>
      <c r="D1" s="1"/>
      <c r="E1" s="1"/>
      <c r="F1" s="1"/>
    </row>
    <row r="3" ht="15" spans="1:6">
      <c r="A3" s="2" t="s">
        <v>122</v>
      </c>
      <c r="B3" s="3" t="s">
        <v>123</v>
      </c>
    </row>
    <row r="4" spans="1:6">
      <c r="A4" s="4" t="s">
        <v>2</v>
      </c>
      <c r="B4" s="5" t="s">
        <v>124</v>
      </c>
    </row>
    <row r="5" spans="1:6">
      <c r="A5" s="4" t="s">
        <v>3</v>
      </c>
      <c r="B5" s="5" t="s">
        <v>125</v>
      </c>
    </row>
    <row r="6" spans="1:6">
      <c r="A6" s="4" t="s">
        <v>126</v>
      </c>
      <c r="B6" s="5" t="s">
        <v>127</v>
      </c>
    </row>
    <row r="7" spans="1:6">
      <c r="A7" s="4" t="s">
        <v>6</v>
      </c>
      <c r="B7" s="5" t="s">
        <v>128</v>
      </c>
    </row>
    <row r="8" spans="1:6">
      <c r="A8" s="4" t="s">
        <v>7</v>
      </c>
      <c r="B8" s="5" t="s">
        <v>129</v>
      </c>
    </row>
    <row r="9" spans="1:6">
      <c r="A9" s="4" t="s">
        <v>130</v>
      </c>
      <c r="B9" s="5" t="s">
        <v>131</v>
      </c>
    </row>
    <row r="10" spans="1:6">
      <c r="A10" s="4" t="s">
        <v>11</v>
      </c>
      <c r="B10" s="5" t="s">
        <v>132</v>
      </c>
    </row>
    <row r="11" spans="1:6">
      <c r="A11" s="4" t="s">
        <v>133</v>
      </c>
      <c r="B11" s="5" t="s">
        <v>134</v>
      </c>
    </row>
    <row r="12" spans="1:6">
      <c r="A12" s="4" t="s">
        <v>16</v>
      </c>
      <c r="B12" s="5" t="s">
        <v>135</v>
      </c>
    </row>
    <row r="13" spans="1:6">
      <c r="A13" s="4" t="s">
        <v>17</v>
      </c>
      <c r="B13" s="5" t="s">
        <v>136</v>
      </c>
    </row>
    <row r="14" spans="1:6">
      <c r="A14" s="6" t="s">
        <v>137</v>
      </c>
      <c r="B14" s="7" t="s">
        <v>138</v>
      </c>
    </row>
    <row r="16" ht="34" customHeight="1" spans="1:6">
      <c r="A16" s="8" t="s">
        <v>139</v>
      </c>
      <c r="B16" s="8" t="s">
        <v>140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Members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伍霖</cp:lastModifiedBy>
  <dcterms:created xsi:type="dcterms:W3CDTF">2026-07-18T04:58:41Z</dcterms:created>
  <dcterms:modified xsi:type="dcterms:W3CDTF">2026-07-18T05:11:48Z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D1FFA45E41964C05A310FB8373E8072F_12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