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Member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<sst xmlns="http://schemas.openxmlformats.org/spreadsheetml/2006/main" count="504" uniqueCount="182">
  <si>
    <t>PYM Group Member Information / PYM Group 成员信息</t>
  </si>
  <si>
    <t>Sorted by: current graduate students → current postdoctoral researchers → Ph.D. graduates → former postdoctoral researchers. Existing time fields are retained.</t>
  </si>
  <si>
    <t>Note: The principal investigator is retained as a separate category. Blank institutions indicate that no unique and reliable match was identified.</t>
  </si>
  <si>
    <t>Member ID / 学号工号</t>
  </si>
  <si>
    <t>Category / 分类</t>
  </si>
  <si>
    <t>Chinese Name / 中文名</t>
  </si>
  <si>
    <t>English Name</t>
  </si>
  <si>
    <t>Profile URL</t>
  </si>
  <si>
    <t>Degree or Position / 学位类型</t>
  </si>
  <si>
    <t>Start Year / 开始年份</t>
  </si>
  <si>
    <t>Expected End Year / 预计结束年份</t>
  </si>
  <si>
    <t>Actual End Year / 实际结束年份</t>
  </si>
  <si>
    <t>Status / 状态</t>
  </si>
  <si>
    <t>Display Period / 展示时间</t>
  </si>
  <si>
    <t>Undergraduate Institution / 本科院校</t>
  </si>
  <si>
    <t>Master's Institution / 硕士院校</t>
  </si>
  <si>
    <t>Doctoral Institution / 博士毕业院校</t>
  </si>
  <si>
    <t>Destination / 去向</t>
  </si>
  <si>
    <t>Notes / 备注</t>
  </si>
  <si>
    <t>Source URL 1</t>
  </si>
  <si>
    <t>Source URL 2</t>
  </si>
  <si>
    <t/>
  </si>
  <si>
    <t>负责人 / Principal Investigator</t>
  </si>
  <si>
    <t>裴永茂</t>
  </si>
  <si>
    <t>Yongmao Pei</t>
  </si>
  <si>
    <t>https://mech.pku.edu.cn/jzyg/szdw/P/69748cb08f7c48c5b97e93486467b594.htm</t>
  </si>
  <si>
    <t>Professor</t>
  </si>
  <si>
    <t>Current</t>
  </si>
  <si>
    <t>Tsinghua University</t>
  </si>
  <si>
    <t>Official faculty homepage retained as the primary profile; ORCID added as a secondary homepage.</t>
  </si>
  <si>
    <t>https://orcid.org/0000-0002-5661-3135</t>
  </si>
  <si>
    <t>2101111924</t>
  </si>
  <si>
    <t>在读研究生 / Current Graduate Student</t>
  </si>
  <si>
    <t>冀锦羽</t>
  </si>
  <si>
    <t>Ji Jinyu</t>
  </si>
  <si>
    <t>Direct Ph.D.</t>
  </si>
  <si>
    <t>Nanjing University of Aeronautics and Astronautics</t>
  </si>
  <si>
    <t>https://www.coe.pku.edu.cn/Uploads/Bdgxy/Collection/File/2021/09/28/tof20e3hf5f.pdf</t>
  </si>
  <si>
    <t>https://www.coe.pku.edu.cn/Uploads/Bdgxy/Collection/File/2021/09/28/mad5pevgqql.pdf</t>
  </si>
  <si>
    <t>2201112117</t>
  </si>
  <si>
    <t>赵鹏宇</t>
  </si>
  <si>
    <t>Zhao Pengyu</t>
  </si>
  <si>
    <t>https://orcid.org/0000-0002-3994-5808</t>
  </si>
  <si>
    <t>Peking University</t>
  </si>
  <si>
    <t>ORCID supplied by the user.</t>
  </si>
  <si>
    <t>https://mech.pku.edu.cn/Uploads/Bdgxy/Collection/File/2021/09/28/o3m1hapwvdg.pdf</t>
  </si>
  <si>
    <t>2201112115</t>
  </si>
  <si>
    <t>向星宇</t>
  </si>
  <si>
    <t>Xiang Xingyu</t>
  </si>
  <si>
    <t>Southwest Jiaotong University</t>
  </si>
  <si>
    <t>2201112110</t>
  </si>
  <si>
    <t>马豪杰</t>
  </si>
  <si>
    <t>Ma Haojie</t>
  </si>
  <si>
    <t>Hunan University</t>
  </si>
  <si>
    <t>2301111683</t>
  </si>
  <si>
    <t>马皓宇</t>
  </si>
  <si>
    <t>Ma Haoyu</t>
  </si>
  <si>
    <t>Harbin Institute of Technology</t>
  </si>
  <si>
    <t>https://www.coe.pku.edu.cn/Uploads/Bdgxy/Picture/2022/07/15/u62d07619c197c.pdf</t>
  </si>
  <si>
    <t>2301111680</t>
  </si>
  <si>
    <t>陈俊炜</t>
  </si>
  <si>
    <t>Chen Junwei</t>
  </si>
  <si>
    <t>Dalian University of Technology</t>
  </si>
  <si>
    <t>2301111681</t>
  </si>
  <si>
    <t>李俊鹏</t>
  </si>
  <si>
    <t>Li Junpeng</t>
  </si>
  <si>
    <t>2401111721</t>
  </si>
  <si>
    <t>崔忠霖</t>
  </si>
  <si>
    <t>Cui Zhonglin</t>
  </si>
  <si>
    <t>https://amr.pku.edu.cn/Uploads/Bdgxy/Picture/2023/10/16/u652cd9df3d5d7.pdf</t>
  </si>
  <si>
    <t>https://www.coe.pku.edu.cn/Uploads/Bdgxy/Picture/2023/08/12/u64d73b148ec6d.pdf</t>
  </si>
  <si>
    <t>2401111731</t>
  </si>
  <si>
    <t>杨秉臻</t>
  </si>
  <si>
    <t>Yang Bingzhen</t>
  </si>
  <si>
    <t>https://orcid.org/0009-0009-6801-6168</t>
  </si>
  <si>
    <t>2501111739</t>
  </si>
  <si>
    <t>伍霖</t>
  </si>
  <si>
    <t>Wu Lin</t>
  </si>
  <si>
    <t>https://orcid.org/0009-0005-6544-2197</t>
  </si>
  <si>
    <t>Education confirmed from the supplied personal-profile screenshot.</t>
  </si>
  <si>
    <t>2501111723</t>
  </si>
  <si>
    <t>江科杙</t>
  </si>
  <si>
    <t>Jiang Keyi</t>
  </si>
  <si>
    <t>Ph.D.</t>
  </si>
  <si>
    <t>Chongqing University</t>
  </si>
  <si>
    <t>Institute of Mechanics, Chinese Academy of Sciences</t>
  </si>
  <si>
    <t>Master's institution retained from the user-edited workbook; please reconfirm against the completed degree record.</t>
  </si>
  <si>
    <t>https://www.coe.pku.edu.cn/Uploads/Bdgxy/Picture/2021/10/15/u61694fc26ec79.pdf</t>
  </si>
  <si>
    <t>https://civil.cqu.edu.cn/info/2097/20976.htm</t>
  </si>
  <si>
    <t>2406395306</t>
  </si>
  <si>
    <t>在职博士后 / Current Postdoctoral Researcher</t>
  </si>
  <si>
    <t>许春雨</t>
  </si>
  <si>
    <t>Xu Chunyu</t>
  </si>
  <si>
    <t>https://orcid.org/0009-0009-4459-3809</t>
  </si>
  <si>
    <t>Postdoctoral Researcher</t>
  </si>
  <si>
    <t>Beijing University of Science and Technology</t>
  </si>
  <si>
    <t>For postdoctoral researchers, only the doctoral institution is required; ORCID supplied by the user.</t>
  </si>
  <si>
    <t>https://www.coe.pku.edu.cn/announcements/college/12707.html</t>
  </si>
  <si>
    <t>2406392575</t>
  </si>
  <si>
    <t>张路</t>
  </si>
  <si>
    <t>Zhang Lu</t>
  </si>
  <si>
    <t>Doctoral institution retained from the user-edited workbook; no unique public source was identified.</t>
  </si>
  <si>
    <t>2606396422</t>
  </si>
  <si>
    <t>邓健强</t>
  </si>
  <si>
    <t>Deng Jianqiang</t>
  </si>
  <si>
    <t>For postdoctoral researchers, only the doctoral institution is retained.</t>
  </si>
  <si>
    <t>https://yz.cqu.edu.cn/upload/pub/bsnlq_2021.pdf</t>
  </si>
  <si>
    <t>毕业博士 / Ph.D. Graduate</t>
  </si>
  <si>
    <t>李航宇</t>
  </si>
  <si>
    <t>Li Hangyu</t>
  </si>
  <si>
    <t>https://orcid.org/0000-0003-4721-1780</t>
  </si>
  <si>
    <t>Graduated</t>
  </si>
  <si>
    <t>University of Science and Technology of China</t>
  </si>
  <si>
    <t>Huawei</t>
  </si>
  <si>
    <t>Doctoral institution added according to the PYM Group doctoral-training record; ORCID supplied by the user.</t>
  </si>
  <si>
    <t>许多</t>
  </si>
  <si>
    <t>Xu Duo</t>
  </si>
  <si>
    <t>Doctoral institution added according to the PYM Group doctoral-training record.</t>
  </si>
  <si>
    <t>李鉴卿</t>
  </si>
  <si>
    <t>Li Jianqing</t>
  </si>
  <si>
    <t>刘鹏</t>
  </si>
  <si>
    <t>Liu Peng</t>
  </si>
  <si>
    <t>The user-entered institution was moved from the doctoral column to the undergraduate column.</t>
  </si>
  <si>
    <t>周志涛</t>
  </si>
  <si>
    <t>Zhou Zhitao</t>
  </si>
  <si>
    <t>侯泽伟</t>
  </si>
  <si>
    <t>Hou Zewei</t>
  </si>
  <si>
    <t>This person also has a separate former-postdoctoral record below.</t>
  </si>
  <si>
    <t>吕增耀</t>
  </si>
  <si>
    <t>Lü Zengyao</t>
  </si>
  <si>
    <t>王培育</t>
  </si>
  <si>
    <t>Wang Peiyu</t>
  </si>
  <si>
    <t>丁元帅</t>
  </si>
  <si>
    <t>Ding Yuanshuai</t>
  </si>
  <si>
    <t>https://orcid.org/0000-0002-5003-0705</t>
  </si>
  <si>
    <t>The user-entered institution was moved from the doctoral column to the undergraduate column; ORCID supplied by the user.</t>
  </si>
  <si>
    <t>出站博士后 / Former Postdoctoral Researcher</t>
  </si>
  <si>
    <t>刘佳琼</t>
  </si>
  <si>
    <t>Liu Jiaqiong</t>
  </si>
  <si>
    <t>Completed</t>
  </si>
  <si>
    <t>Only the doctoral institution is retained for former postdoctoral researchers.</t>
  </si>
  <si>
    <t>杨晨</t>
  </si>
  <si>
    <t>Yang Chen</t>
  </si>
  <si>
    <t>林瑜阳</t>
  </si>
  <si>
    <t>Lin Yuyang</t>
  </si>
  <si>
    <t>https://orcid.org/0000-0002-3585-7819</t>
  </si>
  <si>
    <t>Only the doctoral institution is retained for former postdoctoral researchers; ORCID supplied by the user.</t>
  </si>
  <si>
    <t>许望东</t>
  </si>
  <si>
    <t>Xu Wangdong</t>
  </si>
  <si>
    <t>Doctoral institution could not be uniquely verified and remains blank.</t>
  </si>
  <si>
    <t>刘后常</t>
  </si>
  <si>
    <t>Liu Houchang</t>
  </si>
  <si>
    <t>Matched to the doctoral-graduate record with the same name; please reconfirm if these are different people.</t>
  </si>
  <si>
    <t>Workbook Maintenance Guide / 填写说明</t>
  </si>
  <si>
    <t>Field</t>
  </si>
  <si>
    <t>Rule</t>
  </si>
  <si>
    <t>字段</t>
  </si>
  <si>
    <t>填写规则</t>
  </si>
  <si>
    <t>Category</t>
  </si>
  <si>
    <t>Use one of the four requested member groups; keep the PI separate.</t>
  </si>
  <si>
    <t>分类</t>
  </si>
  <si>
    <t>使用四类成员分类；负责人单独保留。</t>
  </si>
  <si>
    <t>Time</t>
  </si>
  <si>
    <t>Existing years are retained. Leave missing years blank until confirmed.</t>
  </si>
  <si>
    <t>时间</t>
  </si>
  <si>
    <t>保留现有年份，未确认的时间保持空白。</t>
  </si>
  <si>
    <t>Graduate education</t>
  </si>
  <si>
    <t>Record undergraduate and master's institutions when available.</t>
  </si>
  <si>
    <t>研究生院校</t>
  </si>
  <si>
    <t>本科、硕士院校有可靠信息时分别填写。</t>
  </si>
  <si>
    <t>Postdoctoral education</t>
  </si>
  <si>
    <t>Only the doctoral-granting institution is required.</t>
  </si>
  <si>
    <t>博士后院校</t>
  </si>
  <si>
    <t>博士后仅填写博士毕业院校。</t>
  </si>
  <si>
    <t>Sources</t>
  </si>
  <si>
    <t>Prefer official institutional pages or admission/graduation notices.</t>
  </si>
  <si>
    <t>来源</t>
  </si>
  <si>
    <t>优先填写学校官网、录取或毕业公示等官方来源。</t>
  </si>
  <si>
    <t>Uncertain matches</t>
  </si>
  <si>
    <t>Leave blank and add a note; do not infer from a common name alone.</t>
  </si>
  <si>
    <t>同名待核实</t>
  </si>
  <si>
    <t>无法唯一对应时留空并备注，不仅凭同名推断。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</si>
</sst>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i/>
      <sz val="10"/>
      <color rgb="FF17365D"/>
      <name val="Carlito"/>
      <charset val="134"/>
    </font>
    <font>
      <sz val="10"/>
      <color rgb="FF7F6000"/>
      <name val="Carlito"/>
      <charset val="134"/>
    </font>
    <font>
      <b/>
      <sz val="10"/>
      <color rgb="FFFFFFFF"/>
      <name val="Carlito"/>
      <charset val="134"/>
    </font>
    <font>
      <sz val="10"/>
      <name val="Carlito"/>
      <charset val="134"/>
    </font>
    <font>
      <b/>
      <sz val="10"/>
      <color rgb="FF24344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thin">
        <color rgb="FF9EADBA"/>
      </left>
      <right/>
      <top style="thin">
        <color rgb="FF9EADBA"/>
      </top>
      <bottom style="thin">
        <color rgb="FF9EADBA"/>
      </bottom>
      <diagonal/>
    </border>
    <border>
      <left/>
      <right/>
      <top style="thin">
        <color rgb="FF9EADBA"/>
      </top>
      <bottom style="thin">
        <color rgb="FF9EADBA"/>
      </bottom>
      <diagonal/>
    </border>
    <border>
      <left/>
      <right style="thin">
        <color rgb="FF9EADBA"/>
      </right>
      <top style="thin">
        <color rgb="FF9EADBA"/>
      </top>
      <bottom style="thin">
        <color rgb="FF9EADB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1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18" fillId="13" borderId="11" applyNumberFormat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20" fillId="14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1" fillId="2" borderId="0" xfId="49" applyNumberFormat="1" applyFont="1" applyFill="1" applyBorder="1"/>
    <xf numFmtId="0" fontId="2" fillId="3" borderId="0" xfId="49" applyNumberFormat="1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0" fillId="0" borderId="2" xfId="49" applyNumberFormat="1" applyFont="1" applyFill="1" applyBorder="1" applyAlignment="1">
      <alignment vertical="top" wrapText="1"/>
    </xf>
    <xf numFmtId="0" fontId="0" fillId="0" borderId="3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vertical="center"/>
    </xf>
    <xf numFmtId="0" fontId="3" fillId="4" borderId="0" xfId="49" applyNumberFormat="1" applyFont="1" applyFill="1" applyBorder="1" applyAlignment="1">
      <alignment vertical="center"/>
    </xf>
    <xf numFmtId="0" fontId="4" fillId="5" borderId="0" xfId="49" applyNumberFormat="1" applyFont="1" applyFill="1" applyBorder="1" applyAlignment="1">
      <alignment vertical="center"/>
    </xf>
    <xf numFmtId="0" fontId="5" fillId="3" borderId="4" xfId="49" applyNumberFormat="1" applyFont="1" applyFill="1" applyBorder="1" applyAlignment="1">
      <alignment vertical="center" wrapText="1"/>
    </xf>
    <xf numFmtId="0" fontId="5" fillId="3" borderId="5" xfId="49" applyNumberFormat="1" applyFont="1" applyFill="1" applyBorder="1" applyAlignment="1">
      <alignment vertical="center" wrapText="1"/>
    </xf>
    <xf numFmtId="0" fontId="5" fillId="3" borderId="6" xfId="49" applyNumberFormat="1" applyFont="1" applyFill="1" applyBorder="1" applyAlignment="1">
      <alignment vertical="center" wrapText="1"/>
    </xf>
    <xf numFmtId="49" fontId="6" fillId="0" borderId="1" xfId="49" applyNumberFormat="1" applyFont="1" applyFill="1" applyBorder="1" applyAlignment="1">
      <alignment vertical="center" wrapText="1"/>
    </xf>
    <xf numFmtId="0" fontId="7" fillId="6" borderId="1" xfId="49" applyNumberFormat="1" applyFont="1" applyFill="1" applyBorder="1" applyAlignment="1">
      <alignment vertical="center" wrapText="1"/>
    </xf>
    <xf numFmtId="0" fontId="6" fillId="0" borderId="1" xfId="49" applyNumberFormat="1" applyFont="1" applyFill="1" applyBorder="1" applyAlignment="1">
      <alignment vertical="center" wrapText="1"/>
    </xf>
    <xf numFmtId="0" fontId="6" fillId="0" borderId="1" xfId="49" applyNumberFormat="1" applyFont="1" applyFill="1" applyBorder="1" applyAlignment="1">
      <alignment horizontal="center" vertical="center" wrapText="1"/>
    </xf>
    <xf numFmtId="49" fontId="6" fillId="0" borderId="2" xfId="49" applyNumberFormat="1" applyFont="1" applyFill="1" applyBorder="1" applyAlignment="1">
      <alignment vertical="center" wrapText="1"/>
    </xf>
    <xf numFmtId="0" fontId="7" fillId="7" borderId="2" xfId="49" applyNumberFormat="1" applyFont="1" applyFill="1" applyBorder="1" applyAlignment="1">
      <alignment vertical="center" wrapText="1"/>
    </xf>
    <xf numFmtId="0" fontId="6" fillId="0" borderId="2" xfId="49" applyNumberFormat="1" applyFont="1" applyFill="1" applyBorder="1" applyAlignment="1">
      <alignment vertical="center" wrapText="1"/>
    </xf>
    <xf numFmtId="0" fontId="6" fillId="0" borderId="2" xfId="49" applyNumberFormat="1" applyFont="1" applyFill="1" applyBorder="1" applyAlignment="1">
      <alignment horizontal="center" vertical="center" wrapText="1"/>
    </xf>
    <xf numFmtId="0" fontId="7" fillId="8" borderId="2" xfId="49" applyNumberFormat="1" applyFont="1" applyFill="1" applyBorder="1" applyAlignment="1">
      <alignment vertical="center" wrapText="1"/>
    </xf>
    <xf numFmtId="0" fontId="7" fillId="9" borderId="2" xfId="49" applyNumberFormat="1" applyFont="1" applyFill="1" applyBorder="1" applyAlignment="1">
      <alignment vertical="center" wrapText="1"/>
    </xf>
    <xf numFmtId="0" fontId="7" fillId="10" borderId="2" xfId="49" applyNumberFormat="1" applyFont="1" applyFill="1" applyBorder="1" applyAlignment="1">
      <alignment vertical="center" wrapText="1"/>
    </xf>
    <xf numFmtId="49" fontId="6" fillId="0" borderId="3" xfId="49" applyNumberFormat="1" applyFont="1" applyFill="1" applyBorder="1" applyAlignment="1">
      <alignment vertical="center" wrapText="1"/>
    </xf>
    <xf numFmtId="0" fontId="7" fillId="10" borderId="3" xfId="49" applyNumberFormat="1" applyFont="1" applyFill="1" applyBorder="1" applyAlignment="1">
      <alignment vertical="center" wrapText="1"/>
    </xf>
    <xf numFmtId="0" fontId="6" fillId="0" borderId="3" xfId="49" applyNumberFormat="1" applyFont="1" applyFill="1" applyBorder="1" applyAlignment="1">
      <alignment vertical="center" wrapText="1"/>
    </xf>
    <xf numFmtId="0" fontId="6" fillId="0" borderId="3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embersTable" displayName="MembersTable" ref="A5:R35" totalsRowShown="0">
  <tableColumns count="18">
    <tableColumn id="1" name="Member ID / 学号工号"/>
    <tableColumn id="2" name="Category / 分类"/>
    <tableColumn id="3" name="Chinese Name / 中文名"/>
    <tableColumn id="4" name="English Name"/>
    <tableColumn id="5" name="Profile URL"/>
    <tableColumn id="6" name="Degree or Position / 学位类型"/>
    <tableColumn id="7" name="Start Year / 开始年份"/>
    <tableColumn id="8" name="Expected End Year / 预计结束年份"/>
    <tableColumn id="9" name="Actual End Year / 实际结束年份"/>
    <tableColumn id="10" name="Status / 状态"/>
    <tableColumn id="11" name="Display Period / 展示时间"/>
    <tableColumn id="12" name="Undergraduate Institution / 本科院校"/>
    <tableColumn id="13" name="Master's Institution / 硕士院校"/>
    <tableColumn id="14" name="Doctoral Institution / 博士毕业院校"/>
    <tableColumn id="15" name="Destination / 去向"/>
    <tableColumn id="16" name="Notes / 备注"/>
    <tableColumn id="17" name="Source URL 1"/>
    <tableColumn id="18" name="Source UR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5"/>
  <sheetViews>
    <sheetView showGridLines="0" tabSelected="1" topLeftCell="A20" workbookViewId="0">
      <selection activeCell="O5" sqref="O5"/>
    </sheetView>
  </sheetViews>
  <sheetFormatPr defaultColWidth="9" defaultRowHeight="14.25"/>
  <cols>
    <col min="1" max="1" width="16" customWidth="1"/>
    <col min="2" max="2" width="30" customWidth="1"/>
    <col min="3" max="3" width="16" customWidth="1"/>
    <col min="4" max="4" width="18" customWidth="1"/>
    <col min="5" max="5" width="30" customWidth="1"/>
    <col min="6" max="6" width="24" customWidth="1"/>
    <col min="7" max="7" width="14" customWidth="1"/>
    <col min="8" max="9" width="18" customWidth="1"/>
    <col min="10" max="10" width="14" customWidth="1"/>
    <col min="11" max="11" width="18" customWidth="1"/>
    <col min="12" max="14" width="34" customWidth="1"/>
    <col min="15" max="15" width="24" customWidth="1"/>
    <col min="16" max="16" width="48" customWidth="1"/>
    <col min="17" max="18" width="38" customWidth="1"/>
  </cols>
  <sheetData>
    <row r="1" ht="30" customHeight="1" spans="1:18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ht="24" customHeight="1" spans="1:18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ht="24" customHeight="1" spans="1:18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5" ht="42" customHeight="1" spans="1:18">
      <c r="A5" s="9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 t="s">
        <v>15</v>
      </c>
      <c r="N5" s="10" t="s">
        <v>16</v>
      </c>
      <c r="O5" s="10" t="s">
        <v>17</v>
      </c>
      <c r="P5" s="10" t="s">
        <v>18</v>
      </c>
      <c r="Q5" s="10" t="s">
        <v>19</v>
      </c>
      <c r="R5" s="11" t="s">
        <v>20</v>
      </c>
    </row>
    <row r="6" ht="42" customHeight="1" spans="1:18">
      <c r="A6" s="12" t="s">
        <v>21</v>
      </c>
      <c r="B6" s="13" t="s">
        <v>22</v>
      </c>
      <c r="C6" s="14" t="s">
        <v>23</v>
      </c>
      <c r="D6" s="14" t="s">
        <v>24</v>
      </c>
      <c r="E6" s="14" t="s">
        <v>25</v>
      </c>
      <c r="F6" s="14" t="s">
        <v>26</v>
      </c>
      <c r="G6" s="15">
        <v>2018</v>
      </c>
      <c r="H6" s="15" t="s">
        <v>21</v>
      </c>
      <c r="I6" s="15" t="s">
        <v>21</v>
      </c>
      <c r="J6" s="15" t="s">
        <v>27</v>
      </c>
      <c r="K6" s="15" t="str">
        <f t="shared" ref="K6:K35" si="0">IF(G6="","",G6&amp;"–"&amp;IF(J6="Current","Present",IF(I6&lt;&gt;"",I6,H6)))</f>
        <v>2018–Present</v>
      </c>
      <c r="L6" s="14" t="s">
        <v>28</v>
      </c>
      <c r="M6" s="14" t="s">
        <v>21</v>
      </c>
      <c r="N6" s="14" t="s">
        <v>28</v>
      </c>
      <c r="O6" s="14" t="s">
        <v>21</v>
      </c>
      <c r="P6" s="14" t="s">
        <v>29</v>
      </c>
      <c r="Q6" s="14" t="s">
        <v>25</v>
      </c>
      <c r="R6" s="14" t="s">
        <v>30</v>
      </c>
    </row>
    <row r="7" ht="42" customHeight="1" spans="1:18">
      <c r="A7" s="16" t="s">
        <v>31</v>
      </c>
      <c r="B7" s="17" t="s">
        <v>32</v>
      </c>
      <c r="C7" s="18" t="s">
        <v>33</v>
      </c>
      <c r="D7" s="18" t="s">
        <v>34</v>
      </c>
      <c r="E7" s="18" t="s">
        <v>21</v>
      </c>
      <c r="F7" s="18" t="s">
        <v>35</v>
      </c>
      <c r="G7" s="19">
        <v>2021</v>
      </c>
      <c r="H7" s="19">
        <v>2026</v>
      </c>
      <c r="I7" s="19" t="s">
        <v>21</v>
      </c>
      <c r="J7" s="19" t="s">
        <v>27</v>
      </c>
      <c r="K7" s="19" t="str">
        <f t="shared" si="0"/>
        <v>2021–Present</v>
      </c>
      <c r="L7" s="18" t="s">
        <v>36</v>
      </c>
      <c r="M7" s="18" t="s">
        <v>21</v>
      </c>
      <c r="N7" s="18" t="s">
        <v>21</v>
      </c>
      <c r="O7" s="18" t="s">
        <v>21</v>
      </c>
      <c r="P7" s="18" t="s">
        <v>21</v>
      </c>
      <c r="Q7" s="18" t="s">
        <v>37</v>
      </c>
      <c r="R7" s="18" t="s">
        <v>38</v>
      </c>
    </row>
    <row r="8" ht="42" customHeight="1" spans="1:18">
      <c r="A8" s="16" t="s">
        <v>39</v>
      </c>
      <c r="B8" s="17" t="s">
        <v>32</v>
      </c>
      <c r="C8" s="18" t="s">
        <v>40</v>
      </c>
      <c r="D8" s="18" t="s">
        <v>41</v>
      </c>
      <c r="E8" s="18" t="s">
        <v>42</v>
      </c>
      <c r="F8" s="18" t="s">
        <v>35</v>
      </c>
      <c r="G8" s="19">
        <v>2022</v>
      </c>
      <c r="H8" s="19">
        <v>2027</v>
      </c>
      <c r="I8" s="19" t="s">
        <v>21</v>
      </c>
      <c r="J8" s="19" t="s">
        <v>27</v>
      </c>
      <c r="K8" s="19" t="str">
        <f t="shared" si="0"/>
        <v>2022–Present</v>
      </c>
      <c r="L8" s="18" t="s">
        <v>43</v>
      </c>
      <c r="M8" s="18" t="s">
        <v>21</v>
      </c>
      <c r="N8" s="18" t="s">
        <v>21</v>
      </c>
      <c r="O8" s="18" t="s">
        <v>21</v>
      </c>
      <c r="P8" s="18" t="s">
        <v>44</v>
      </c>
      <c r="Q8" s="18" t="s">
        <v>45</v>
      </c>
      <c r="R8" s="18" t="s">
        <v>42</v>
      </c>
    </row>
    <row r="9" ht="42" customHeight="1" spans="1:18">
      <c r="A9" s="16" t="s">
        <v>46</v>
      </c>
      <c r="B9" s="17" t="s">
        <v>32</v>
      </c>
      <c r="C9" s="18" t="s">
        <v>47</v>
      </c>
      <c r="D9" s="18" t="s">
        <v>48</v>
      </c>
      <c r="E9" s="18" t="s">
        <v>21</v>
      </c>
      <c r="F9" s="18" t="s">
        <v>35</v>
      </c>
      <c r="G9" s="19">
        <v>2022</v>
      </c>
      <c r="H9" s="19">
        <v>2027</v>
      </c>
      <c r="I9" s="19" t="s">
        <v>21</v>
      </c>
      <c r="J9" s="19" t="s">
        <v>27</v>
      </c>
      <c r="K9" s="19" t="str">
        <f t="shared" si="0"/>
        <v>2022–Present</v>
      </c>
      <c r="L9" s="18" t="s">
        <v>49</v>
      </c>
      <c r="M9" s="18" t="s">
        <v>21</v>
      </c>
      <c r="N9" s="18" t="s">
        <v>21</v>
      </c>
      <c r="O9" s="18" t="s">
        <v>21</v>
      </c>
      <c r="P9" s="18" t="s">
        <v>21</v>
      </c>
      <c r="Q9" s="18" t="s">
        <v>45</v>
      </c>
      <c r="R9" s="18" t="s">
        <v>21</v>
      </c>
    </row>
    <row r="10" ht="42" customHeight="1" spans="1:18">
      <c r="A10" s="16" t="s">
        <v>50</v>
      </c>
      <c r="B10" s="17" t="s">
        <v>32</v>
      </c>
      <c r="C10" s="18" t="s">
        <v>51</v>
      </c>
      <c r="D10" s="18" t="s">
        <v>52</v>
      </c>
      <c r="E10" s="18" t="s">
        <v>21</v>
      </c>
      <c r="F10" s="18" t="s">
        <v>35</v>
      </c>
      <c r="G10" s="19">
        <v>2022</v>
      </c>
      <c r="H10" s="19">
        <v>2027</v>
      </c>
      <c r="I10" s="19" t="s">
        <v>21</v>
      </c>
      <c r="J10" s="19" t="s">
        <v>27</v>
      </c>
      <c r="K10" s="19" t="str">
        <f t="shared" si="0"/>
        <v>2022–Present</v>
      </c>
      <c r="L10" s="18" t="s">
        <v>53</v>
      </c>
      <c r="M10" s="18" t="s">
        <v>21</v>
      </c>
      <c r="N10" s="18" t="s">
        <v>21</v>
      </c>
      <c r="O10" s="18" t="s">
        <v>21</v>
      </c>
      <c r="P10" s="18" t="s">
        <v>21</v>
      </c>
      <c r="Q10" s="18" t="s">
        <v>45</v>
      </c>
      <c r="R10" s="18" t="s">
        <v>21</v>
      </c>
    </row>
    <row r="11" ht="42" customHeight="1" spans="1:18">
      <c r="A11" s="16" t="s">
        <v>54</v>
      </c>
      <c r="B11" s="17" t="s">
        <v>32</v>
      </c>
      <c r="C11" s="18" t="s">
        <v>55</v>
      </c>
      <c r="D11" s="18" t="s">
        <v>56</v>
      </c>
      <c r="E11" s="18" t="s">
        <v>21</v>
      </c>
      <c r="F11" s="18" t="s">
        <v>35</v>
      </c>
      <c r="G11" s="19">
        <v>2023</v>
      </c>
      <c r="H11" s="19">
        <v>2028</v>
      </c>
      <c r="I11" s="19" t="s">
        <v>21</v>
      </c>
      <c r="J11" s="19" t="s">
        <v>27</v>
      </c>
      <c r="K11" s="19" t="str">
        <f t="shared" si="0"/>
        <v>2023–Present</v>
      </c>
      <c r="L11" s="18" t="s">
        <v>57</v>
      </c>
      <c r="M11" s="18" t="s">
        <v>21</v>
      </c>
      <c r="N11" s="18" t="s">
        <v>21</v>
      </c>
      <c r="O11" s="18" t="s">
        <v>21</v>
      </c>
      <c r="P11" s="18" t="s">
        <v>21</v>
      </c>
      <c r="Q11" s="18" t="s">
        <v>58</v>
      </c>
      <c r="R11" s="18" t="s">
        <v>21</v>
      </c>
    </row>
    <row r="12" ht="42" customHeight="1" spans="1:18">
      <c r="A12" s="16" t="s">
        <v>59</v>
      </c>
      <c r="B12" s="17" t="s">
        <v>32</v>
      </c>
      <c r="C12" s="18" t="s">
        <v>60</v>
      </c>
      <c r="D12" s="18" t="s">
        <v>61</v>
      </c>
      <c r="E12" s="18" t="s">
        <v>21</v>
      </c>
      <c r="F12" s="18" t="s">
        <v>35</v>
      </c>
      <c r="G12" s="19">
        <v>2023</v>
      </c>
      <c r="H12" s="19">
        <v>2028</v>
      </c>
      <c r="I12" s="19" t="s">
        <v>21</v>
      </c>
      <c r="J12" s="19" t="s">
        <v>27</v>
      </c>
      <c r="K12" s="19" t="str">
        <f t="shared" si="0"/>
        <v>2023–Present</v>
      </c>
      <c r="L12" s="18" t="s">
        <v>62</v>
      </c>
      <c r="M12" s="18" t="s">
        <v>21</v>
      </c>
      <c r="N12" s="18" t="s">
        <v>21</v>
      </c>
      <c r="O12" s="18" t="s">
        <v>21</v>
      </c>
      <c r="P12" s="18" t="s">
        <v>21</v>
      </c>
      <c r="Q12" s="18" t="s">
        <v>58</v>
      </c>
      <c r="R12" s="18" t="s">
        <v>21</v>
      </c>
    </row>
    <row r="13" ht="42" customHeight="1" spans="1:18">
      <c r="A13" s="16" t="s">
        <v>63</v>
      </c>
      <c r="B13" s="17" t="s">
        <v>32</v>
      </c>
      <c r="C13" s="18" t="s">
        <v>64</v>
      </c>
      <c r="D13" s="18" t="s">
        <v>65</v>
      </c>
      <c r="E13" s="18" t="s">
        <v>21</v>
      </c>
      <c r="F13" s="18" t="s">
        <v>35</v>
      </c>
      <c r="G13" s="19">
        <v>2023</v>
      </c>
      <c r="H13" s="19">
        <v>2028</v>
      </c>
      <c r="I13" s="19" t="s">
        <v>21</v>
      </c>
      <c r="J13" s="19" t="s">
        <v>27</v>
      </c>
      <c r="K13" s="19" t="str">
        <f t="shared" si="0"/>
        <v>2023–Present</v>
      </c>
      <c r="L13" s="18" t="s">
        <v>49</v>
      </c>
      <c r="M13" s="18" t="s">
        <v>21</v>
      </c>
      <c r="N13" s="18" t="s">
        <v>21</v>
      </c>
      <c r="O13" s="18" t="s">
        <v>21</v>
      </c>
      <c r="P13" s="18" t="s">
        <v>21</v>
      </c>
      <c r="Q13" s="18" t="s">
        <v>58</v>
      </c>
      <c r="R13" s="18" t="s">
        <v>21</v>
      </c>
    </row>
    <row r="14" ht="42" customHeight="1" spans="1:18">
      <c r="A14" s="16" t="s">
        <v>66</v>
      </c>
      <c r="B14" s="17" t="s">
        <v>32</v>
      </c>
      <c r="C14" s="18" t="s">
        <v>67</v>
      </c>
      <c r="D14" s="18" t="s">
        <v>68</v>
      </c>
      <c r="E14" s="18" t="s">
        <v>21</v>
      </c>
      <c r="F14" s="18" t="s">
        <v>35</v>
      </c>
      <c r="G14" s="19">
        <v>2024</v>
      </c>
      <c r="H14" s="19">
        <v>2029</v>
      </c>
      <c r="I14" s="19" t="s">
        <v>21</v>
      </c>
      <c r="J14" s="19" t="s">
        <v>27</v>
      </c>
      <c r="K14" s="19" t="str">
        <f t="shared" si="0"/>
        <v>2024–Present</v>
      </c>
      <c r="L14" s="18" t="s">
        <v>62</v>
      </c>
      <c r="M14" s="18" t="s">
        <v>21</v>
      </c>
      <c r="N14" s="18" t="s">
        <v>21</v>
      </c>
      <c r="O14" s="18" t="s">
        <v>21</v>
      </c>
      <c r="P14" s="18" t="s">
        <v>21</v>
      </c>
      <c r="Q14" s="18" t="s">
        <v>69</v>
      </c>
      <c r="R14" s="18" t="s">
        <v>70</v>
      </c>
    </row>
    <row r="15" ht="42" customHeight="1" spans="1:18">
      <c r="A15" s="16" t="s">
        <v>71</v>
      </c>
      <c r="B15" s="17" t="s">
        <v>32</v>
      </c>
      <c r="C15" s="18" t="s">
        <v>72</v>
      </c>
      <c r="D15" s="18" t="s">
        <v>73</v>
      </c>
      <c r="E15" s="18" t="s">
        <v>74</v>
      </c>
      <c r="F15" s="18" t="s">
        <v>35</v>
      </c>
      <c r="G15" s="19">
        <v>2024</v>
      </c>
      <c r="H15" s="19">
        <v>2029</v>
      </c>
      <c r="I15" s="19" t="s">
        <v>21</v>
      </c>
      <c r="J15" s="19" t="s">
        <v>27</v>
      </c>
      <c r="K15" s="19" t="str">
        <f t="shared" si="0"/>
        <v>2024–Present</v>
      </c>
      <c r="L15" s="18" t="s">
        <v>36</v>
      </c>
      <c r="M15" s="18" t="s">
        <v>21</v>
      </c>
      <c r="N15" s="18" t="s">
        <v>21</v>
      </c>
      <c r="O15" s="18" t="s">
        <v>21</v>
      </c>
      <c r="P15" s="18" t="s">
        <v>44</v>
      </c>
      <c r="Q15" s="18" t="s">
        <v>69</v>
      </c>
      <c r="R15" s="18" t="s">
        <v>74</v>
      </c>
    </row>
    <row r="16" ht="42" customHeight="1" spans="1:18">
      <c r="A16" s="16" t="s">
        <v>75</v>
      </c>
      <c r="B16" s="17" t="s">
        <v>32</v>
      </c>
      <c r="C16" s="18" t="s">
        <v>76</v>
      </c>
      <c r="D16" s="18" t="s">
        <v>77</v>
      </c>
      <c r="E16" s="18" t="s">
        <v>78</v>
      </c>
      <c r="F16" s="18" t="s">
        <v>35</v>
      </c>
      <c r="G16" s="19">
        <v>2025</v>
      </c>
      <c r="H16" s="19">
        <v>2030</v>
      </c>
      <c r="I16" s="19" t="s">
        <v>21</v>
      </c>
      <c r="J16" s="19" t="s">
        <v>27</v>
      </c>
      <c r="K16" s="19" t="str">
        <f t="shared" si="0"/>
        <v>2025–Present</v>
      </c>
      <c r="L16" s="18" t="s">
        <v>36</v>
      </c>
      <c r="M16" s="18" t="s">
        <v>21</v>
      </c>
      <c r="N16" s="18" t="s">
        <v>21</v>
      </c>
      <c r="O16" s="18" t="s">
        <v>21</v>
      </c>
      <c r="P16" s="18" t="s">
        <v>79</v>
      </c>
      <c r="Q16" s="18" t="s">
        <v>78</v>
      </c>
      <c r="R16" s="18" t="s">
        <v>21</v>
      </c>
    </row>
    <row r="17" ht="42" customHeight="1" spans="1:18">
      <c r="A17" s="16" t="s">
        <v>80</v>
      </c>
      <c r="B17" s="17" t="s">
        <v>32</v>
      </c>
      <c r="C17" s="18" t="s">
        <v>81</v>
      </c>
      <c r="D17" s="18" t="s">
        <v>82</v>
      </c>
      <c r="E17" s="18" t="s">
        <v>21</v>
      </c>
      <c r="F17" s="18" t="s">
        <v>83</v>
      </c>
      <c r="G17" s="19">
        <v>2025</v>
      </c>
      <c r="H17" s="19">
        <v>2030</v>
      </c>
      <c r="I17" s="19" t="s">
        <v>21</v>
      </c>
      <c r="J17" s="19" t="s">
        <v>27</v>
      </c>
      <c r="K17" s="19" t="str">
        <f t="shared" si="0"/>
        <v>2025–Present</v>
      </c>
      <c r="L17" s="18" t="s">
        <v>84</v>
      </c>
      <c r="M17" s="18" t="s">
        <v>85</v>
      </c>
      <c r="N17" s="18" t="s">
        <v>21</v>
      </c>
      <c r="O17" s="18" t="s">
        <v>21</v>
      </c>
      <c r="P17" s="18" t="s">
        <v>86</v>
      </c>
      <c r="Q17" s="18" t="s">
        <v>87</v>
      </c>
      <c r="R17" s="18" t="s">
        <v>88</v>
      </c>
    </row>
    <row r="18" ht="42" customHeight="1" spans="1:18">
      <c r="A18" s="16" t="s">
        <v>89</v>
      </c>
      <c r="B18" s="20" t="s">
        <v>90</v>
      </c>
      <c r="C18" s="18" t="s">
        <v>91</v>
      </c>
      <c r="D18" s="18" t="s">
        <v>92</v>
      </c>
      <c r="E18" s="18" t="s">
        <v>93</v>
      </c>
      <c r="F18" s="18" t="s">
        <v>94</v>
      </c>
      <c r="G18" s="19">
        <v>2024</v>
      </c>
      <c r="H18" s="19" t="s">
        <v>21</v>
      </c>
      <c r="I18" s="19" t="s">
        <v>21</v>
      </c>
      <c r="J18" s="19" t="s">
        <v>27</v>
      </c>
      <c r="K18" s="19" t="str">
        <f t="shared" si="0"/>
        <v>2024–Present</v>
      </c>
      <c r="L18" s="18" t="s">
        <v>21</v>
      </c>
      <c r="M18" s="18" t="s">
        <v>21</v>
      </c>
      <c r="N18" s="18" t="s">
        <v>95</v>
      </c>
      <c r="O18" s="18" t="s">
        <v>21</v>
      </c>
      <c r="P18" s="18" t="s">
        <v>96</v>
      </c>
      <c r="Q18" s="18" t="s">
        <v>97</v>
      </c>
      <c r="R18" s="18" t="s">
        <v>93</v>
      </c>
    </row>
    <row r="19" ht="42" customHeight="1" spans="1:18">
      <c r="A19" s="16" t="s">
        <v>98</v>
      </c>
      <c r="B19" s="20" t="s">
        <v>90</v>
      </c>
      <c r="C19" s="18" t="s">
        <v>99</v>
      </c>
      <c r="D19" s="18" t="s">
        <v>100</v>
      </c>
      <c r="E19" s="18" t="s">
        <v>21</v>
      </c>
      <c r="F19" s="18" t="s">
        <v>94</v>
      </c>
      <c r="G19" s="19">
        <v>2024</v>
      </c>
      <c r="H19" s="19" t="s">
        <v>21</v>
      </c>
      <c r="I19" s="19" t="s">
        <v>21</v>
      </c>
      <c r="J19" s="19" t="s">
        <v>27</v>
      </c>
      <c r="K19" s="19" t="str">
        <f t="shared" si="0"/>
        <v>2024–Present</v>
      </c>
      <c r="L19" s="18" t="s">
        <v>21</v>
      </c>
      <c r="M19" s="18" t="s">
        <v>21</v>
      </c>
      <c r="N19" s="18" t="s">
        <v>36</v>
      </c>
      <c r="O19" s="18" t="s">
        <v>21</v>
      </c>
      <c r="P19" s="18" t="s">
        <v>101</v>
      </c>
      <c r="Q19" s="18" t="s">
        <v>21</v>
      </c>
      <c r="R19" s="18" t="s">
        <v>21</v>
      </c>
    </row>
    <row r="20" ht="42" customHeight="1" spans="1:18">
      <c r="A20" s="16" t="s">
        <v>102</v>
      </c>
      <c r="B20" s="20" t="s">
        <v>90</v>
      </c>
      <c r="C20" s="18" t="s">
        <v>103</v>
      </c>
      <c r="D20" s="18" t="s">
        <v>104</v>
      </c>
      <c r="E20" s="18" t="s">
        <v>21</v>
      </c>
      <c r="F20" s="18" t="s">
        <v>94</v>
      </c>
      <c r="G20" s="19">
        <v>2026</v>
      </c>
      <c r="H20" s="19" t="s">
        <v>21</v>
      </c>
      <c r="I20" s="19" t="s">
        <v>21</v>
      </c>
      <c r="J20" s="19" t="s">
        <v>27</v>
      </c>
      <c r="K20" s="19" t="str">
        <f t="shared" si="0"/>
        <v>2026–Present</v>
      </c>
      <c r="L20" s="18" t="s">
        <v>21</v>
      </c>
      <c r="M20" s="18" t="s">
        <v>21</v>
      </c>
      <c r="N20" s="18" t="s">
        <v>84</v>
      </c>
      <c r="O20" s="18" t="s">
        <v>21</v>
      </c>
      <c r="P20" s="18" t="s">
        <v>105</v>
      </c>
      <c r="Q20" s="18" t="s">
        <v>106</v>
      </c>
      <c r="R20" s="18" t="s">
        <v>21</v>
      </c>
    </row>
    <row r="21" ht="42" customHeight="1" spans="1:18">
      <c r="A21" s="16" t="s">
        <v>21</v>
      </c>
      <c r="B21" s="21" t="s">
        <v>107</v>
      </c>
      <c r="C21" s="18" t="s">
        <v>108</v>
      </c>
      <c r="D21" s="18" t="s">
        <v>109</v>
      </c>
      <c r="E21" s="18" t="s">
        <v>110</v>
      </c>
      <c r="F21" s="18" t="s">
        <v>35</v>
      </c>
      <c r="G21" s="19">
        <v>2020</v>
      </c>
      <c r="H21" s="19">
        <v>2025</v>
      </c>
      <c r="I21" s="19" t="s">
        <v>21</v>
      </c>
      <c r="J21" s="19" t="s">
        <v>111</v>
      </c>
      <c r="K21" s="19" t="str">
        <f t="shared" si="0"/>
        <v>2020–2025</v>
      </c>
      <c r="L21" s="18" t="s">
        <v>112</v>
      </c>
      <c r="M21" s="18" t="s">
        <v>21</v>
      </c>
      <c r="N21" s="18" t="s">
        <v>43</v>
      </c>
      <c r="O21" s="18" t="s">
        <v>113</v>
      </c>
      <c r="P21" s="18" t="s">
        <v>114</v>
      </c>
      <c r="Q21" s="18" t="s">
        <v>110</v>
      </c>
      <c r="R21" s="18" t="s">
        <v>21</v>
      </c>
    </row>
    <row r="22" ht="42" customHeight="1" spans="1:18">
      <c r="A22" s="16" t="s">
        <v>21</v>
      </c>
      <c r="B22" s="21" t="s">
        <v>107</v>
      </c>
      <c r="C22" s="18" t="s">
        <v>115</v>
      </c>
      <c r="D22" s="18" t="s">
        <v>116</v>
      </c>
      <c r="E22" s="18" t="s">
        <v>21</v>
      </c>
      <c r="F22" s="18" t="s">
        <v>35</v>
      </c>
      <c r="G22" s="19">
        <v>2020</v>
      </c>
      <c r="H22" s="19">
        <v>2026</v>
      </c>
      <c r="I22" s="19" t="s">
        <v>21</v>
      </c>
      <c r="J22" s="19" t="s">
        <v>111</v>
      </c>
      <c r="K22" s="19" t="str">
        <f t="shared" si="0"/>
        <v>2020–2026</v>
      </c>
      <c r="L22" s="18" t="s">
        <v>53</v>
      </c>
      <c r="M22" s="18" t="s">
        <v>21</v>
      </c>
      <c r="N22" s="18" t="s">
        <v>43</v>
      </c>
      <c r="O22" s="18" t="s">
        <v>94</v>
      </c>
      <c r="P22" s="18" t="s">
        <v>117</v>
      </c>
      <c r="Q22" s="18" t="s">
        <v>21</v>
      </c>
      <c r="R22" s="18" t="s">
        <v>21</v>
      </c>
    </row>
    <row r="23" ht="42" customHeight="1" spans="1:18">
      <c r="A23" s="16" t="s">
        <v>21</v>
      </c>
      <c r="B23" s="21" t="s">
        <v>107</v>
      </c>
      <c r="C23" s="18" t="s">
        <v>118</v>
      </c>
      <c r="D23" s="18" t="s">
        <v>119</v>
      </c>
      <c r="E23" s="18" t="s">
        <v>21</v>
      </c>
      <c r="F23" s="18" t="s">
        <v>35</v>
      </c>
      <c r="G23" s="19">
        <v>2020</v>
      </c>
      <c r="H23" s="19">
        <v>2026</v>
      </c>
      <c r="I23" s="19" t="s">
        <v>21</v>
      </c>
      <c r="J23" s="19" t="s">
        <v>111</v>
      </c>
      <c r="K23" s="19" t="str">
        <f t="shared" si="0"/>
        <v>2020–2026</v>
      </c>
      <c r="L23" s="18" t="s">
        <v>53</v>
      </c>
      <c r="M23" s="18" t="s">
        <v>21</v>
      </c>
      <c r="N23" s="18" t="s">
        <v>43</v>
      </c>
      <c r="O23" s="18" t="s">
        <v>94</v>
      </c>
      <c r="P23" s="18" t="s">
        <v>117</v>
      </c>
      <c r="Q23" s="18" t="s">
        <v>21</v>
      </c>
      <c r="R23" s="18" t="s">
        <v>21</v>
      </c>
    </row>
    <row r="24" ht="42" customHeight="1" spans="1:18">
      <c r="A24" s="16" t="s">
        <v>21</v>
      </c>
      <c r="B24" s="21" t="s">
        <v>107</v>
      </c>
      <c r="C24" s="18" t="s">
        <v>120</v>
      </c>
      <c r="D24" s="18" t="s">
        <v>121</v>
      </c>
      <c r="E24" s="18" t="s">
        <v>21</v>
      </c>
      <c r="F24" s="18" t="s">
        <v>35</v>
      </c>
      <c r="G24" s="19">
        <v>2020</v>
      </c>
      <c r="H24" s="19">
        <v>2026</v>
      </c>
      <c r="I24" s="19" t="s">
        <v>21</v>
      </c>
      <c r="J24" s="19" t="s">
        <v>111</v>
      </c>
      <c r="K24" s="19" t="str">
        <f t="shared" si="0"/>
        <v>2020–2026</v>
      </c>
      <c r="L24" s="18" t="s">
        <v>36</v>
      </c>
      <c r="M24" s="18" t="s">
        <v>21</v>
      </c>
      <c r="N24" s="18" t="s">
        <v>43</v>
      </c>
      <c r="O24" s="18" t="s">
        <v>94</v>
      </c>
      <c r="P24" s="18" t="s">
        <v>122</v>
      </c>
      <c r="Q24" s="18" t="s">
        <v>21</v>
      </c>
      <c r="R24" s="18" t="s">
        <v>21</v>
      </c>
    </row>
    <row r="25" ht="42" customHeight="1" spans="1:18">
      <c r="A25" s="16" t="s">
        <v>21</v>
      </c>
      <c r="B25" s="21" t="s">
        <v>107</v>
      </c>
      <c r="C25" s="18" t="s">
        <v>123</v>
      </c>
      <c r="D25" s="18" t="s">
        <v>124</v>
      </c>
      <c r="E25" s="18" t="s">
        <v>21</v>
      </c>
      <c r="F25" s="18" t="s">
        <v>35</v>
      </c>
      <c r="G25" s="19">
        <v>2020</v>
      </c>
      <c r="H25" s="19">
        <v>2026</v>
      </c>
      <c r="I25" s="19" t="s">
        <v>21</v>
      </c>
      <c r="J25" s="19" t="s">
        <v>111</v>
      </c>
      <c r="K25" s="19" t="str">
        <f t="shared" si="0"/>
        <v>2020–2026</v>
      </c>
      <c r="L25" s="18" t="s">
        <v>53</v>
      </c>
      <c r="M25" s="18" t="s">
        <v>21</v>
      </c>
      <c r="N25" s="18" t="s">
        <v>43</v>
      </c>
      <c r="O25" s="18" t="s">
        <v>94</v>
      </c>
      <c r="P25" s="18" t="s">
        <v>117</v>
      </c>
      <c r="Q25" s="18" t="s">
        <v>21</v>
      </c>
      <c r="R25" s="18" t="s">
        <v>21</v>
      </c>
    </row>
    <row r="26" ht="42" customHeight="1" spans="1:18">
      <c r="A26" s="16" t="s">
        <v>21</v>
      </c>
      <c r="B26" s="21" t="s">
        <v>107</v>
      </c>
      <c r="C26" s="18" t="s">
        <v>125</v>
      </c>
      <c r="D26" s="18" t="s">
        <v>126</v>
      </c>
      <c r="E26" s="18" t="s">
        <v>21</v>
      </c>
      <c r="F26" s="18" t="s">
        <v>35</v>
      </c>
      <c r="G26" s="19">
        <v>2020</v>
      </c>
      <c r="H26" s="19">
        <v>2026</v>
      </c>
      <c r="I26" s="19" t="s">
        <v>21</v>
      </c>
      <c r="J26" s="19" t="s">
        <v>111</v>
      </c>
      <c r="K26" s="19" t="str">
        <f t="shared" si="0"/>
        <v>2020–2026</v>
      </c>
      <c r="L26" s="18" t="s">
        <v>53</v>
      </c>
      <c r="M26" s="18" t="s">
        <v>21</v>
      </c>
      <c r="N26" s="18" t="s">
        <v>43</v>
      </c>
      <c r="O26" s="18" t="s">
        <v>94</v>
      </c>
      <c r="P26" s="18" t="s">
        <v>127</v>
      </c>
      <c r="Q26" s="18" t="s">
        <v>21</v>
      </c>
      <c r="R26" s="18" t="s">
        <v>21</v>
      </c>
    </row>
    <row r="27" ht="42" customHeight="1" spans="1:18">
      <c r="A27" s="16" t="s">
        <v>21</v>
      </c>
      <c r="B27" s="21" t="s">
        <v>107</v>
      </c>
      <c r="C27" s="18" t="s">
        <v>128</v>
      </c>
      <c r="D27" s="18" t="s">
        <v>129</v>
      </c>
      <c r="E27" s="18" t="s">
        <v>21</v>
      </c>
      <c r="F27" s="18" t="s">
        <v>35</v>
      </c>
      <c r="G27" s="19">
        <v>2020</v>
      </c>
      <c r="H27" s="19">
        <v>2026</v>
      </c>
      <c r="I27" s="19" t="s">
        <v>21</v>
      </c>
      <c r="J27" s="19" t="s">
        <v>111</v>
      </c>
      <c r="K27" s="19" t="str">
        <f t="shared" si="0"/>
        <v>2020–2026</v>
      </c>
      <c r="L27" s="18" t="s">
        <v>53</v>
      </c>
      <c r="M27" s="18" t="s">
        <v>21</v>
      </c>
      <c r="N27" s="18" t="s">
        <v>43</v>
      </c>
      <c r="O27" s="18" t="s">
        <v>94</v>
      </c>
      <c r="P27" s="18" t="s">
        <v>117</v>
      </c>
      <c r="Q27" s="18" t="s">
        <v>21</v>
      </c>
      <c r="R27" s="18" t="s">
        <v>21</v>
      </c>
    </row>
    <row r="28" ht="42" customHeight="1" spans="1:18">
      <c r="A28" s="16" t="s">
        <v>21</v>
      </c>
      <c r="B28" s="21" t="s">
        <v>107</v>
      </c>
      <c r="C28" s="18" t="s">
        <v>130</v>
      </c>
      <c r="D28" s="18" t="s">
        <v>131</v>
      </c>
      <c r="E28" s="18" t="s">
        <v>21</v>
      </c>
      <c r="F28" s="18" t="s">
        <v>35</v>
      </c>
      <c r="G28" s="19">
        <v>2020</v>
      </c>
      <c r="H28" s="19">
        <v>2026</v>
      </c>
      <c r="I28" s="19" t="s">
        <v>21</v>
      </c>
      <c r="J28" s="19" t="s">
        <v>111</v>
      </c>
      <c r="K28" s="19" t="str">
        <f t="shared" si="0"/>
        <v>2020–2026</v>
      </c>
      <c r="L28" s="18" t="s">
        <v>53</v>
      </c>
      <c r="M28" s="18" t="s">
        <v>21</v>
      </c>
      <c r="N28" s="18" t="s">
        <v>43</v>
      </c>
      <c r="O28" s="18" t="s">
        <v>94</v>
      </c>
      <c r="P28" s="18" t="s">
        <v>117</v>
      </c>
      <c r="Q28" s="18" t="s">
        <v>21</v>
      </c>
      <c r="R28" s="18" t="s">
        <v>21</v>
      </c>
    </row>
    <row r="29" ht="42" customHeight="1" spans="1:18">
      <c r="A29" s="16" t="s">
        <v>21</v>
      </c>
      <c r="B29" s="21" t="s">
        <v>107</v>
      </c>
      <c r="C29" s="18" t="s">
        <v>132</v>
      </c>
      <c r="D29" s="18" t="s">
        <v>133</v>
      </c>
      <c r="E29" s="18" t="s">
        <v>134</v>
      </c>
      <c r="F29" s="18" t="s">
        <v>35</v>
      </c>
      <c r="G29" s="19">
        <v>2020</v>
      </c>
      <c r="H29" s="19">
        <v>2026</v>
      </c>
      <c r="I29" s="19" t="s">
        <v>21</v>
      </c>
      <c r="J29" s="19" t="s">
        <v>111</v>
      </c>
      <c r="K29" s="19" t="str">
        <f t="shared" si="0"/>
        <v>2020–2026</v>
      </c>
      <c r="L29" s="18" t="s">
        <v>36</v>
      </c>
      <c r="M29" s="18" t="s">
        <v>21</v>
      </c>
      <c r="N29" s="18" t="s">
        <v>43</v>
      </c>
      <c r="O29" s="18" t="s">
        <v>94</v>
      </c>
      <c r="P29" s="18" t="s">
        <v>135</v>
      </c>
      <c r="Q29" s="18" t="s">
        <v>134</v>
      </c>
      <c r="R29" s="18" t="s">
        <v>21</v>
      </c>
    </row>
    <row r="30" ht="42" customHeight="1" spans="1:18">
      <c r="A30" s="16" t="s">
        <v>21</v>
      </c>
      <c r="B30" s="22" t="s">
        <v>136</v>
      </c>
      <c r="C30" s="18" t="s">
        <v>137</v>
      </c>
      <c r="D30" s="18" t="s">
        <v>138</v>
      </c>
      <c r="E30" s="18" t="s">
        <v>21</v>
      </c>
      <c r="F30" s="18" t="s">
        <v>94</v>
      </c>
      <c r="G30" s="19">
        <v>2020</v>
      </c>
      <c r="H30" s="19">
        <v>2026</v>
      </c>
      <c r="I30" s="19" t="s">
        <v>21</v>
      </c>
      <c r="J30" s="19" t="s">
        <v>139</v>
      </c>
      <c r="K30" s="19" t="str">
        <f t="shared" si="0"/>
        <v>2020–2026</v>
      </c>
      <c r="L30" s="18" t="s">
        <v>21</v>
      </c>
      <c r="M30" s="18" t="s">
        <v>21</v>
      </c>
      <c r="N30" s="18" t="s">
        <v>53</v>
      </c>
      <c r="O30" s="18" t="s">
        <v>21</v>
      </c>
      <c r="P30" s="18" t="s">
        <v>140</v>
      </c>
      <c r="Q30" s="18" t="s">
        <v>21</v>
      </c>
      <c r="R30" s="18" t="s">
        <v>21</v>
      </c>
    </row>
    <row r="31" ht="42" customHeight="1" spans="1:18">
      <c r="A31" s="16" t="s">
        <v>21</v>
      </c>
      <c r="B31" s="22" t="s">
        <v>136</v>
      </c>
      <c r="C31" s="18" t="s">
        <v>141</v>
      </c>
      <c r="D31" s="18" t="s">
        <v>142</v>
      </c>
      <c r="E31" s="18" t="s">
        <v>21</v>
      </c>
      <c r="F31" s="18" t="s">
        <v>94</v>
      </c>
      <c r="G31" s="19">
        <v>2020</v>
      </c>
      <c r="H31" s="19">
        <v>2026</v>
      </c>
      <c r="I31" s="19" t="s">
        <v>21</v>
      </c>
      <c r="J31" s="19" t="s">
        <v>139</v>
      </c>
      <c r="K31" s="19" t="str">
        <f t="shared" si="0"/>
        <v>2020–2026</v>
      </c>
      <c r="L31" s="18" t="s">
        <v>21</v>
      </c>
      <c r="M31" s="18" t="s">
        <v>21</v>
      </c>
      <c r="N31" s="18" t="s">
        <v>36</v>
      </c>
      <c r="O31" s="18" t="s">
        <v>21</v>
      </c>
      <c r="P31" s="18" t="s">
        <v>140</v>
      </c>
      <c r="Q31" s="18" t="s">
        <v>21</v>
      </c>
      <c r="R31" s="18" t="s">
        <v>21</v>
      </c>
    </row>
    <row r="32" ht="42" customHeight="1" spans="1:18">
      <c r="A32" s="16" t="s">
        <v>21</v>
      </c>
      <c r="B32" s="22" t="s">
        <v>136</v>
      </c>
      <c r="C32" s="18" t="s">
        <v>143</v>
      </c>
      <c r="D32" s="18" t="s">
        <v>144</v>
      </c>
      <c r="E32" s="18" t="s">
        <v>145</v>
      </c>
      <c r="F32" s="18" t="s">
        <v>94</v>
      </c>
      <c r="G32" s="19">
        <v>2020</v>
      </c>
      <c r="H32" s="19">
        <v>2026</v>
      </c>
      <c r="I32" s="19" t="s">
        <v>21</v>
      </c>
      <c r="J32" s="19" t="s">
        <v>139</v>
      </c>
      <c r="K32" s="19" t="str">
        <f t="shared" si="0"/>
        <v>2020–2026</v>
      </c>
      <c r="L32" s="18" t="s">
        <v>21</v>
      </c>
      <c r="M32" s="18" t="s">
        <v>21</v>
      </c>
      <c r="N32" s="18" t="s">
        <v>36</v>
      </c>
      <c r="O32" s="18" t="s">
        <v>21</v>
      </c>
      <c r="P32" s="18" t="s">
        <v>146</v>
      </c>
      <c r="Q32" s="18" t="s">
        <v>145</v>
      </c>
      <c r="R32" s="18" t="s">
        <v>21</v>
      </c>
    </row>
    <row r="33" ht="42" customHeight="1" spans="1:18">
      <c r="A33" s="16" t="s">
        <v>21</v>
      </c>
      <c r="B33" s="22" t="s">
        <v>136</v>
      </c>
      <c r="C33" s="18" t="s">
        <v>147</v>
      </c>
      <c r="D33" s="18" t="s">
        <v>148</v>
      </c>
      <c r="E33" s="18" t="s">
        <v>21</v>
      </c>
      <c r="F33" s="18" t="s">
        <v>94</v>
      </c>
      <c r="G33" s="19">
        <v>2020</v>
      </c>
      <c r="H33" s="19">
        <v>2026</v>
      </c>
      <c r="I33" s="19" t="s">
        <v>21</v>
      </c>
      <c r="J33" s="19" t="s">
        <v>139</v>
      </c>
      <c r="K33" s="19" t="str">
        <f t="shared" si="0"/>
        <v>2020–2026</v>
      </c>
      <c r="L33" s="18" t="s">
        <v>21</v>
      </c>
      <c r="M33" s="18" t="s">
        <v>21</v>
      </c>
      <c r="N33" s="18" t="s">
        <v>21</v>
      </c>
      <c r="O33" s="18" t="s">
        <v>21</v>
      </c>
      <c r="P33" s="18" t="s">
        <v>149</v>
      </c>
      <c r="Q33" s="18" t="s">
        <v>21</v>
      </c>
      <c r="R33" s="18" t="s">
        <v>21</v>
      </c>
    </row>
    <row r="34" ht="42" customHeight="1" spans="1:18">
      <c r="A34" s="16" t="s">
        <v>21</v>
      </c>
      <c r="B34" s="22" t="s">
        <v>136</v>
      </c>
      <c r="C34" s="18" t="s">
        <v>150</v>
      </c>
      <c r="D34" s="18" t="s">
        <v>151</v>
      </c>
      <c r="E34" s="18" t="s">
        <v>21</v>
      </c>
      <c r="F34" s="18" t="s">
        <v>94</v>
      </c>
      <c r="G34" s="19">
        <v>2020</v>
      </c>
      <c r="H34" s="19">
        <v>2026</v>
      </c>
      <c r="I34" s="19" t="s">
        <v>21</v>
      </c>
      <c r="J34" s="19" t="s">
        <v>139</v>
      </c>
      <c r="K34" s="19" t="str">
        <f t="shared" si="0"/>
        <v>2020–2026</v>
      </c>
      <c r="L34" s="18" t="s">
        <v>21</v>
      </c>
      <c r="M34" s="18" t="s">
        <v>21</v>
      </c>
      <c r="N34" s="18" t="s">
        <v>84</v>
      </c>
      <c r="O34" s="18" t="s">
        <v>21</v>
      </c>
      <c r="P34" s="18" t="s">
        <v>140</v>
      </c>
      <c r="Q34" s="18" t="s">
        <v>21</v>
      </c>
      <c r="R34" s="18" t="s">
        <v>21</v>
      </c>
    </row>
    <row r="35" ht="42" customHeight="1" spans="1:18">
      <c r="A35" s="23" t="s">
        <v>21</v>
      </c>
      <c r="B35" s="24" t="s">
        <v>136</v>
      </c>
      <c r="C35" s="25" t="s">
        <v>125</v>
      </c>
      <c r="D35" s="25" t="s">
        <v>126</v>
      </c>
      <c r="E35" s="25" t="s">
        <v>21</v>
      </c>
      <c r="F35" s="25" t="s">
        <v>94</v>
      </c>
      <c r="G35" s="26">
        <v>2020</v>
      </c>
      <c r="H35" s="26">
        <v>2026</v>
      </c>
      <c r="I35" s="26" t="s">
        <v>21</v>
      </c>
      <c r="J35" s="26" t="s">
        <v>139</v>
      </c>
      <c r="K35" s="26" t="str">
        <f t="shared" si="0"/>
        <v>2020–2026</v>
      </c>
      <c r="L35" s="25" t="s">
        <v>21</v>
      </c>
      <c r="M35" s="25" t="s">
        <v>21</v>
      </c>
      <c r="N35" s="25" t="s">
        <v>43</v>
      </c>
      <c r="O35" s="25" t="s">
        <v>21</v>
      </c>
      <c r="P35" s="25" t="s">
        <v>152</v>
      </c>
      <c r="Q35" s="25" t="s">
        <v>21</v>
      </c>
      <c r="R35" s="25" t="s">
        <v>21</v>
      </c>
    </row>
  </sheetData>
  <mergeCells count="3">
    <mergeCell ref="A1:R1"/>
    <mergeCell ref="A2:R2"/>
    <mergeCell ref="A3:R3"/>
  </mergeCells>
  <dataValidations count="3">
    <dataValidation type="list" sqref="B6:B35">
      <formula1>"负责人 / Principal Investigator,在读研究生 / Current Graduate Student,在职博士后 / Current Postdoctoral Researcher,毕业博士 / Ph.D. Graduate,出站博士后 / Former Postdoctoral Researcher"</formula1>
    </dataValidation>
    <dataValidation type="list" sqref="F6:F35">
      <formula1>"Professor,Direct Ph.D.,Ph.D.,Postdoctoral Researcher"</formula1>
    </dataValidation>
    <dataValidation type="list" sqref="J6:J35">
      <formula1>"Current,Graduated,Completed,Left"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showGridLines="0" workbookViewId="0">
      <selection activeCell="A1" sqref="A1:D1"/>
    </sheetView>
  </sheetViews>
  <sheetFormatPr defaultColWidth="9" defaultRowHeight="14.25" outlineLevelCol="3"/>
  <cols>
    <col min="1" max="1" width="32" customWidth="1"/>
    <col min="2" max="2" width="56" customWidth="1"/>
    <col min="3" max="3" width="32" customWidth="1"/>
    <col min="4" max="4" width="56" customWidth="1"/>
  </cols>
  <sheetData>
    <row r="1" ht="20.25" spans="1:4">
      <c r="A1" s="1" t="s">
        <v>153</v>
      </c>
      <c r="B1" s="1"/>
      <c r="C1" s="1"/>
      <c r="D1" s="1"/>
    </row>
    <row r="3" ht="15" spans="1:4">
      <c r="A3" s="2" t="s">
        <v>154</v>
      </c>
      <c r="B3" s="2" t="s">
        <v>155</v>
      </c>
      <c r="C3" s="2" t="s">
        <v>156</v>
      </c>
      <c r="D3" s="2" t="s">
        <v>157</v>
      </c>
    </row>
    <row r="4" ht="28.5" spans="1:4">
      <c r="A4" s="3" t="s">
        <v>158</v>
      </c>
      <c r="B4" s="3" t="s">
        <v>159</v>
      </c>
      <c r="C4" s="3" t="s">
        <v>160</v>
      </c>
      <c r="D4" s="3" t="s">
        <v>161</v>
      </c>
    </row>
    <row r="5" ht="28.5" spans="1:4">
      <c r="A5" s="4" t="s">
        <v>162</v>
      </c>
      <c r="B5" s="4" t="s">
        <v>163</v>
      </c>
      <c r="C5" s="4" t="s">
        <v>164</v>
      </c>
      <c r="D5" s="4" t="s">
        <v>165</v>
      </c>
    </row>
    <row r="6" spans="1:4">
      <c r="A6" s="4" t="s">
        <v>166</v>
      </c>
      <c r="B6" s="4" t="s">
        <v>167</v>
      </c>
      <c r="C6" s="4" t="s">
        <v>168</v>
      </c>
      <c r="D6" s="4" t="s">
        <v>169</v>
      </c>
    </row>
    <row r="7" spans="1:4">
      <c r="A7" s="4" t="s">
        <v>170</v>
      </c>
      <c r="B7" s="4" t="s">
        <v>171</v>
      </c>
      <c r="C7" s="4" t="s">
        <v>172</v>
      </c>
      <c r="D7" s="4" t="s">
        <v>173</v>
      </c>
    </row>
    <row r="8" spans="1:4">
      <c r="A8" s="4" t="s">
        <v>174</v>
      </c>
      <c r="B8" s="4" t="s">
        <v>175</v>
      </c>
      <c r="C8" s="4" t="s">
        <v>176</v>
      </c>
      <c r="D8" s="4" t="s">
        <v>177</v>
      </c>
    </row>
    <row r="9" ht="28.5" spans="1:4">
      <c r="A9" s="5" t="s">
        <v>178</v>
      </c>
      <c r="B9" s="5" t="s">
        <v>179</v>
      </c>
      <c r="C9" s="5" t="s">
        <v>180</v>
      </c>
      <c r="D9" s="5" t="s">
        <v>181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Members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伍霖</cp:lastModifiedBy>
  <dcterms:created xsi:type="dcterms:W3CDTF">2026-07-18T05:26:07Z</dcterms:created>
  <dcterms:modified xsi:type="dcterms:W3CDTF">2026-07-18T05:28:16Z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6A84EA3D174C4574A7EFF034E92CE7DF_12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